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機能一覧表" sheetId="1" state="visible" r:id="rId1"/>
    <sheet name="2_API仕様書" sheetId="2" state="visible" r:id="rId2"/>
    <sheet name="3_テーブル定義書" sheetId="3" state="visible" r:id="rId3"/>
    <sheet name="4_エラー・ログ定義書" sheetId="4" state="visible" r:id="rId4"/>
    <sheet name="5_アーキテクチャ図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color rgb="002C3E50"/>
      <sz val="14"/>
    </font>
    <font>
      <name val="Yu Gothic"/>
      <b val="1"/>
      <color rgb="00FFFFFF"/>
      <sz val="11"/>
    </font>
    <font>
      <name val="Yu Gothic"/>
      <sz val="10"/>
    </font>
    <font>
      <name val="Yu Gothic"/>
      <b val="1"/>
      <color rgb="002C3E50"/>
      <sz val="12"/>
    </font>
    <font>
      <name val="Yu Gothic"/>
      <b val="1"/>
      <color rgb="002C3E50"/>
      <sz val="11"/>
    </font>
    <font>
      <name val="Yu Gothic"/>
      <i val="1"/>
      <sz val="9"/>
    </font>
    <font>
      <name val="Yu Gothic"/>
      <b val="1"/>
      <color rgb="00FFFFFF"/>
      <sz val="10"/>
    </font>
    <font>
      <name val="Yu Gothic"/>
      <b val="1"/>
      <color rgb="008E44AD"/>
      <sz val="12"/>
    </font>
    <font>
      <name val="Yu Gothic"/>
      <i val="1"/>
      <color rgb="00888888"/>
      <sz val="9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5" customWidth="1" min="3" max="3"/>
    <col width="17" customWidth="1" min="4" max="4"/>
    <col width="12" customWidth="1" min="5" max="5"/>
    <col width="30" customWidth="1" min="6" max="6"/>
  </cols>
  <sheetData>
    <row r="1" ht="30" customHeight="1">
      <c r="A1" s="1" t="inlineStr">
        <is>
          <t>VMware2KVM 機能一覧表（基本設計）</t>
        </is>
      </c>
    </row>
    <row r="2"/>
    <row r="3">
      <c r="A3" s="2" t="inlineStr">
        <is>
          <t>機能ID</t>
        </is>
      </c>
      <c r="B3" s="2" t="inlineStr">
        <is>
          <t>機能名</t>
        </is>
      </c>
      <c r="C3" s="2" t="inlineStr">
        <is>
          <t>機能概要</t>
        </is>
      </c>
      <c r="D3" s="2" t="inlineStr">
        <is>
          <t>対象レイヤー</t>
        </is>
      </c>
      <c r="E3" s="2" t="inlineStr">
        <is>
          <t>対象ユーザー</t>
        </is>
      </c>
      <c r="F3" s="2" t="inlineStr">
        <is>
          <t>関連ファイル</t>
        </is>
      </c>
    </row>
    <row r="4">
      <c r="A4" s="3" t="inlineStr">
        <is>
          <t>F-001</t>
        </is>
      </c>
      <c r="B4" s="3" t="inlineStr">
        <is>
          <t>VMXファイル解析</t>
        </is>
      </c>
      <c r="C4" s="3" t="inlineStr">
        <is>
          <t>VMware .vmx 設定ファイルを読み込み、CPU/メモリ/ディスク/ネットワーク/ファームウェア等のVM構成情報を抽出する。複数エンコーディング(UTF-8, Shift_JIS, CP932, Latin-1)に対応。</t>
        </is>
      </c>
      <c r="D4" s="3" t="inlineStr">
        <is>
          <t>バックエンド
(Parser)</t>
        </is>
      </c>
      <c r="E4" s="3" t="inlineStr">
        <is>
          <t>全ユーザー</t>
        </is>
      </c>
      <c r="F4" s="3" t="inlineStr">
        <is>
          <t>src/vmx_parser.py</t>
        </is>
      </c>
    </row>
    <row r="5">
      <c r="A5" s="4" t="inlineStr">
        <is>
          <t>F-002</t>
        </is>
      </c>
      <c r="B5" s="4" t="inlineStr">
        <is>
          <t>OVF/OVAファイル解析</t>
        </is>
      </c>
      <c r="C5" s="4" t="inlineStr">
        <is>
          <t>OVF (XML) を解析しVM構成を抽出。OVA (.tar) は自動展開して内部の .ovf を解析する。CIM ResourceType コードに基づくハードウェアリソース判定を実装。</t>
        </is>
      </c>
      <c r="D5" s="4" t="inlineStr">
        <is>
          <t>バックエンド
(Parser)</t>
        </is>
      </c>
      <c r="E5" s="4" t="inlineStr">
        <is>
          <t>全ユーザー</t>
        </is>
      </c>
      <c r="F5" s="4" t="inlineStr">
        <is>
          <t>src/ovf_parser.py</t>
        </is>
      </c>
    </row>
    <row r="6">
      <c r="A6" s="3" t="inlineStr">
        <is>
          <t>F-003</t>
        </is>
      </c>
      <c r="B6" s="3" t="inlineStr">
        <is>
          <t>KVM libvirt XML生成</t>
        </is>
      </c>
      <c r="C6" s="3" t="inlineStr">
        <is>
          <t>VMConfigデータモデルからlibvirt準拠のドメイン定義XMLを生成する。CPU トポロジー、OVMF/UEFI、Hyper-V enlightenments、VNC、qemu-guest-agent等を含む。</t>
        </is>
      </c>
      <c r="D6" s="3" t="inlineStr">
        <is>
          <t>バックエンド
(Generator)</t>
        </is>
      </c>
      <c r="E6" s="3" t="inlineStr">
        <is>
          <t>KVM管理者</t>
        </is>
      </c>
      <c r="F6" s="3" t="inlineStr">
        <is>
          <t>src/kvm_generator.py</t>
        </is>
      </c>
    </row>
    <row r="7">
      <c r="A7" s="4" t="inlineStr">
        <is>
          <t>F-004</t>
        </is>
      </c>
      <c r="B7" s="4" t="inlineStr">
        <is>
          <t>KVMインポートスクリプト生成</t>
        </is>
      </c>
      <c r="C7" s="4" t="inlineStr">
        <is>
          <t>qemu-img 変換コマンド + virsh define/start を含むシェルスクリプトを生成。Windows VMの場合はvirtioドライバ導入手順も記載。</t>
        </is>
      </c>
      <c r="D7" s="4" t="inlineStr">
        <is>
          <t>バックエンド
(Generator)</t>
        </is>
      </c>
      <c r="E7" s="4" t="inlineStr">
        <is>
          <t>KVM管理者</t>
        </is>
      </c>
      <c r="F7" s="4" t="inlineStr">
        <is>
          <t>src/kvm_generator.py</t>
        </is>
      </c>
    </row>
    <row r="8">
      <c r="A8" s="3" t="inlineStr">
        <is>
          <t>F-005</t>
        </is>
      </c>
      <c r="B8" s="3" t="inlineStr">
        <is>
          <t>Nutanix acliスクリプト生成</t>
        </is>
      </c>
      <c r="C8" s="3" t="inlineStr">
        <is>
          <t>Nutanix CVM上で実行可能なacliコマンドスクリプトを生成。Image Service登録→アップロード完了待機→VM作成→ディスククローン→NICアタッチ→検証の完全フローを含む。</t>
        </is>
      </c>
      <c r="D8" s="3" t="inlineStr">
        <is>
          <t>バックエンド
(Generator)</t>
        </is>
      </c>
      <c r="E8" s="3" t="inlineStr">
        <is>
          <t>Nutanix管理者</t>
        </is>
      </c>
      <c r="F8" s="3" t="inlineStr">
        <is>
          <t>src/nutanix_generator.py</t>
        </is>
      </c>
    </row>
    <row r="9">
      <c r="A9" s="4" t="inlineStr">
        <is>
          <t>F-006</t>
        </is>
      </c>
      <c r="B9" s="4" t="inlineStr">
        <is>
          <t>Nutanix REST APIスクリプト生成</t>
        </is>
      </c>
      <c r="C9" s="4" t="inlineStr">
        <is>
          <t>Prism Central v3 REST API を用いた curl ベースのインポートスクリプトを生成。Image UUID取得、COMPLETE状態待機、VM作成を自動化。</t>
        </is>
      </c>
      <c r="D9" s="4" t="inlineStr">
        <is>
          <t>バックエンド
(Generator)</t>
        </is>
      </c>
      <c r="E9" s="4" t="inlineStr">
        <is>
          <t>Nutanix管理者</t>
        </is>
      </c>
      <c r="F9" s="4" t="inlineStr">
        <is>
          <t>src/nutanix_generator.py</t>
        </is>
      </c>
    </row>
    <row r="10">
      <c r="A10" s="3" t="inlineStr">
        <is>
          <t>F-007</t>
        </is>
      </c>
      <c r="B10" s="3" t="inlineStr">
        <is>
          <t>Nutanix VM Spec JSON生成</t>
        </is>
      </c>
      <c r="C10" s="3" t="inlineStr">
        <is>
          <t>Prism v3 API 用の VM 仕様 JSON を生成。disk_list, nic_list, boot_config, categories等を含む。</t>
        </is>
      </c>
      <c r="D10" s="3" t="inlineStr">
        <is>
          <t>バックエンド
(Generator)</t>
        </is>
      </c>
      <c r="E10" s="3" t="inlineStr">
        <is>
          <t>Nutanix管理者</t>
        </is>
      </c>
      <c r="F10" s="3" t="inlineStr">
        <is>
          <t>src/nutanix_generator.py</t>
        </is>
      </c>
    </row>
    <row r="11">
      <c r="A11" s="4" t="inlineStr">
        <is>
          <t>F-008</t>
        </is>
      </c>
      <c r="B11" s="4" t="inlineStr">
        <is>
          <t>一括変換オーケストレーション</t>
        </is>
      </c>
      <c r="C11" s="4" t="inlineStr">
        <is>
          <t>入力フォルダ内の全VMファイルをスキャンし、パーサー→ジェネレーターを順次実行。停止要求、進捗コールバック、ログコールバックに対応。</t>
        </is>
      </c>
      <c r="D11" s="4" t="inlineStr">
        <is>
          <t>バックエンド
(Orchestrator)</t>
        </is>
      </c>
      <c r="E11" s="4" t="inlineStr">
        <is>
          <t>全ユーザー</t>
        </is>
      </c>
      <c r="F11" s="4" t="inlineStr">
        <is>
          <t>src/converter.py</t>
        </is>
      </c>
    </row>
    <row r="12">
      <c r="A12" s="3" t="inlineStr">
        <is>
          <t>F-009</t>
        </is>
      </c>
      <c r="B12" s="3" t="inlineStr">
        <is>
          <t>ディスクイメージ変換 (vmdk→qcow2)</t>
        </is>
      </c>
      <c r="C12" s="3" t="inlineStr">
        <is>
          <t>qemu-img コマンドを呼び出し、VMDKをqcow2形式に変換する。圧縮オプション(-c)対応。qemu-img未導入時はコマンド文字列のみ生成。</t>
        </is>
      </c>
      <c r="D12" s="3" t="inlineStr">
        <is>
          <t>バックエンド
(Orchestrator)</t>
        </is>
      </c>
      <c r="E12" s="3" t="inlineStr">
        <is>
          <t>全ユーザー</t>
        </is>
      </c>
      <c r="F12" s="3" t="inlineStr">
        <is>
          <t>src/converter.py</t>
        </is>
      </c>
    </row>
    <row r="13">
      <c r="A13" s="4" t="inlineStr">
        <is>
          <t>F-010</t>
        </is>
      </c>
      <c r="B13" s="4" t="inlineStr">
        <is>
          <t>Windows BSOD回避機能</t>
        </is>
      </c>
      <c r="C13" s="4" t="inlineStr">
        <is>
          <t>Windows ゲストOS検出時、ディスクバスをSATA(EFI)/IDE(BIOS)にフォールバックしBSODを防止。virtio-win.isoをCD-ROMに自動マウント。Hyper-V Enlightenments、localtime clock を自動設定。</t>
        </is>
      </c>
      <c r="D13" s="4" t="inlineStr">
        <is>
          <t>バックエンド
(Generator)</t>
        </is>
      </c>
      <c r="E13" s="4" t="inlineStr">
        <is>
          <t>KVM管理者</t>
        </is>
      </c>
      <c r="F13" s="4" t="inlineStr">
        <is>
          <t>src/kvm_generator.py</t>
        </is>
      </c>
    </row>
    <row r="14">
      <c r="A14" s="3" t="inlineStr">
        <is>
          <t>F-011</t>
        </is>
      </c>
      <c r="B14" s="3" t="inlineStr">
        <is>
          <t>ネットワークマッピング</t>
        </is>
      </c>
      <c r="C14" s="3" t="inlineStr">
        <is>
          <t>外部JSONファイル(network_map.json)を読み込み、VMwareポートグループ名をKVMブリッジ名/Nutanixサブネットに変換。MACアドレスはXML/JSON/acliすべてに引き継ぐ。</t>
        </is>
      </c>
      <c r="D14" s="3" t="inlineStr">
        <is>
          <t>バックエンド
(Cross-cutting)</t>
        </is>
      </c>
      <c r="E14" s="3" t="inlineStr">
        <is>
          <t>インフラ管理者</t>
        </is>
      </c>
      <c r="F14" s="3" t="inlineStr">
        <is>
          <t>network_map.json
src/kvm_generator.py
src/nutanix_generator.py</t>
        </is>
      </c>
    </row>
    <row r="15">
      <c r="A15" s="4" t="inlineStr">
        <is>
          <t>F-012</t>
        </is>
      </c>
      <c r="B15" s="4" t="inlineStr">
        <is>
          <t>Pre-flight Check（事前チェック）</t>
        </is>
      </c>
      <c r="C15" s="4" t="inlineStr">
        <is>
          <t>変換前にVMDK合計サイズと出力先ディスク空き容量を比較。容量不足の場合は警告を出して処理を中断する。GUI/CLI両対応。</t>
        </is>
      </c>
      <c r="D15" s="4" t="inlineStr">
        <is>
          <t>バックエンド
(Orchestrator)</t>
        </is>
      </c>
      <c r="E15" s="4" t="inlineStr">
        <is>
          <t>全ユーザー</t>
        </is>
      </c>
      <c r="F15" s="4" t="inlineStr">
        <is>
          <t>src/converter.py</t>
        </is>
      </c>
    </row>
    <row r="16">
      <c r="A16" s="3" t="inlineStr">
        <is>
          <t>F-013</t>
        </is>
      </c>
      <c r="B16" s="3" t="inlineStr">
        <is>
          <t>移行レポート出力</t>
        </is>
      </c>
      <c r="C16" s="3" t="inlineStr">
        <is>
          <t>一括変換結果をmigration_report.csv(CSV)とmigration.log(テキスト)として出力。VM名、状態、CPU、メモリ、NIC/MACアドレス、所要時間、エラー内容を記録。</t>
        </is>
      </c>
      <c r="D16" s="3" t="inlineStr">
        <is>
          <t>バックエンド
(Orchestrator)</t>
        </is>
      </c>
      <c r="E16" s="3" t="inlineStr">
        <is>
          <t>全ユーザー</t>
        </is>
      </c>
      <c r="F16" s="3" t="inlineStr">
        <is>
          <t>src/converter.py</t>
        </is>
      </c>
    </row>
    <row r="17">
      <c r="A17" s="4" t="inlineStr">
        <is>
          <t>F-014</t>
        </is>
      </c>
      <c r="B17" s="4" t="inlineStr">
        <is>
          <t>GUIモード</t>
        </is>
      </c>
      <c r="C17" s="4" t="inlineStr">
        <is>
          <t>tkinter ベースのデスクトップGUIを提供。入出力フォルダ選択、変換先/オプション設定、プログレスバー、リアルタイムログ表示、停止機能を実装。MVCアーキテクチャ。</t>
        </is>
      </c>
      <c r="D17" s="4" t="inlineStr">
        <is>
          <t>フロントエンド
(GUI)</t>
        </is>
      </c>
      <c r="E17" s="4" t="inlineStr">
        <is>
          <t>全ユーザー</t>
        </is>
      </c>
      <c r="F17" s="4" t="inlineStr">
        <is>
          <t>src/gui_view.py
src/gui_controller.py
src/gui_model.py</t>
        </is>
      </c>
    </row>
    <row r="18">
      <c r="A18" s="3" t="inlineStr">
        <is>
          <t>F-015</t>
        </is>
      </c>
      <c r="B18" s="3" t="inlineStr">
        <is>
          <t>CLIモード</t>
        </is>
      </c>
      <c r="C18" s="3" t="inlineStr">
        <is>
          <t>コマンドライン引数によるバッチ実行モードを提供。argparseによる13種のオプションをサポート。スクリプトや自動化パイプラインに組み込み可能。</t>
        </is>
      </c>
      <c r="D18" s="3" t="inlineStr">
        <is>
          <t>フロントエンド
(CLI)</t>
        </is>
      </c>
      <c r="E18" s="3" t="inlineStr">
        <is>
          <t>自動化担当者</t>
        </is>
      </c>
      <c r="F18" s="3" t="inlineStr">
        <is>
          <t>main.py</t>
        </is>
      </c>
    </row>
    <row r="19">
      <c r="A19" s="4" t="inlineStr">
        <is>
          <t>F-016</t>
        </is>
      </c>
      <c r="B19" s="4" t="inlineStr">
        <is>
          <t>多言語対応 (i18n)</t>
        </is>
      </c>
      <c r="C19" s="4" t="inlineStr">
        <is>
          <t>日本語/英語の2言語をサポート。翻訳キーは64種。GUIのリアルタイム言語切替に対応。</t>
        </is>
      </c>
      <c r="D19" s="4" t="inlineStr">
        <is>
          <t>フロントエンド
(Cross-cutting)</t>
        </is>
      </c>
      <c r="E19" s="4" t="inlineStr">
        <is>
          <t>全ユーザー</t>
        </is>
      </c>
      <c r="F19" s="4" t="inlineStr">
        <is>
          <t>src/i18n.py</t>
        </is>
      </c>
    </row>
    <row r="20">
      <c r="A20" s="3" t="inlineStr">
        <is>
          <t>F-017</t>
        </is>
      </c>
      <c r="B20" s="3" t="inlineStr">
        <is>
          <t>ゲストOS自動判定</t>
        </is>
      </c>
      <c r="C20" s="3" t="inlineStr">
        <is>
          <t>VMware guestOS コード(27種)から OS ファミリー(windows/linux)と libvirt os-variant を自動判定。Windows検出時はBSOD回避・Hyper-V最適化を自動適用。</t>
        </is>
      </c>
      <c r="D20" s="3" t="inlineStr">
        <is>
          <t>バックエンド
(Parser)</t>
        </is>
      </c>
      <c r="E20" s="3" t="inlineStr">
        <is>
          <t>全ユーザー</t>
        </is>
      </c>
      <c r="F20" s="3" t="inlineStr">
        <is>
          <t>src/vmx_parser.py
GUEST_OS_MAP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24" customWidth="1" min="4" max="4"/>
    <col width="55" customWidth="1" min="5" max="5"/>
    <col width="34" customWidth="1" min="6" max="6"/>
    <col width="43" customWidth="1" min="7" max="7"/>
    <col width="40" customWidth="1" min="8" max="8"/>
  </cols>
  <sheetData>
    <row r="1" ht="30" customHeight="1">
      <c r="A1" s="5" t="inlineStr">
        <is>
          <t>VMware2KVM API仕様書（詳細設計）— CLI インターフェース &amp; 内部公開メソッド</t>
        </is>
      </c>
    </row>
    <row r="2"/>
    <row r="3">
      <c r="A3" s="6" t="inlineStr">
        <is>
          <t>CLIインターフェース (main.py)</t>
        </is>
      </c>
    </row>
    <row r="4"/>
    <row r="5">
      <c r="A5" s="2" t="inlineStr">
        <is>
          <t>オプション</t>
        </is>
      </c>
      <c r="B5" s="2" t="inlineStr">
        <is>
          <t>短縮形</t>
        </is>
      </c>
      <c r="C5" s="2" t="inlineStr">
        <is>
          <t>型</t>
        </is>
      </c>
      <c r="D5" s="2" t="inlineStr">
        <is>
          <t>デフォルト</t>
        </is>
      </c>
      <c r="E5" s="2" t="inlineStr">
        <is>
          <t>必須</t>
        </is>
      </c>
      <c r="F5" s="2" t="inlineStr">
        <is>
          <t>選択肢</t>
        </is>
      </c>
      <c r="G5" s="2" t="inlineStr">
        <is>
          <t>説明</t>
        </is>
      </c>
      <c r="H5" s="2" t="inlineStr">
        <is>
          <t>実装箇所</t>
        </is>
      </c>
    </row>
    <row r="6">
      <c r="A6" s="3" t="inlineStr">
        <is>
          <t>--input</t>
        </is>
      </c>
      <c r="B6" s="3" t="inlineStr">
        <is>
          <t>-i</t>
        </is>
      </c>
      <c r="C6" s="3" t="inlineStr">
        <is>
          <t>str (path)</t>
        </is>
      </c>
      <c r="D6" s="3" t="inlineStr">
        <is>
          <t>-</t>
        </is>
      </c>
      <c r="E6" s="3" t="inlineStr">
        <is>
          <t>CLI時必須</t>
        </is>
      </c>
      <c r="F6" s="3" t="inlineStr">
        <is>
          <t>-</t>
        </is>
      </c>
      <c r="G6" s="3" t="inlineStr">
        <is>
          <t>入力フォルダ（VMwareファイル配置先）</t>
        </is>
      </c>
      <c r="H6" s="3" t="inlineStr">
        <is>
          <t>main.py → ConversionOptions</t>
        </is>
      </c>
    </row>
    <row r="7">
      <c r="A7" s="4" t="inlineStr">
        <is>
          <t>--output</t>
        </is>
      </c>
      <c r="B7" s="4" t="inlineStr">
        <is>
          <t>-o</t>
        </is>
      </c>
      <c r="C7" s="4" t="inlineStr">
        <is>
          <t>str (path)</t>
        </is>
      </c>
      <c r="D7" s="4" t="inlineStr">
        <is>
          <t>-</t>
        </is>
      </c>
      <c r="E7" s="4" t="inlineStr">
        <is>
          <t>CLI時必須</t>
        </is>
      </c>
      <c r="F7" s="4" t="inlineStr">
        <is>
          <t>-</t>
        </is>
      </c>
      <c r="G7" s="4" t="inlineStr">
        <is>
          <t>出力フォルダ（変換結果の出力先）</t>
        </is>
      </c>
      <c r="H7" s="4" t="inlineStr">
        <is>
          <t>main.py → ConversionOptions</t>
        </is>
      </c>
    </row>
    <row r="8">
      <c r="A8" s="3" t="inlineStr">
        <is>
          <t>--target</t>
        </is>
      </c>
      <c r="B8" s="3" t="inlineStr">
        <is>
          <t>-t</t>
        </is>
      </c>
      <c r="C8" s="3" t="inlineStr">
        <is>
          <t>str</t>
        </is>
      </c>
      <c r="D8" s="3" t="inlineStr">
        <is>
          <t>kvm</t>
        </is>
      </c>
      <c r="E8" s="3" t="inlineStr">
        <is>
          <t>No</t>
        </is>
      </c>
      <c r="F8" s="3" t="inlineStr">
        <is>
          <t>kvm / nutanix / both</t>
        </is>
      </c>
      <c r="G8" s="3" t="inlineStr">
        <is>
          <t>変換先プラットフォームの選択</t>
        </is>
      </c>
      <c r="H8" s="3" t="inlineStr">
        <is>
          <t>ConversionOptions.target</t>
        </is>
      </c>
    </row>
    <row r="9">
      <c r="A9" s="4" t="inlineStr">
        <is>
          <t>--ext</t>
        </is>
      </c>
      <c r="B9" s="4" t="inlineStr">
        <is>
          <t>-</t>
        </is>
      </c>
      <c r="C9" s="4" t="inlineStr">
        <is>
          <t>str (CSV)</t>
        </is>
      </c>
      <c r="D9" s="4" t="inlineStr">
        <is>
          <t>.vmx,.ovf,.ova</t>
        </is>
      </c>
      <c r="E9" s="4" t="inlineStr">
        <is>
          <t>No</t>
        </is>
      </c>
      <c r="F9" s="4" t="inlineStr">
        <is>
          <t>-</t>
        </is>
      </c>
      <c r="G9" s="4" t="inlineStr">
        <is>
          <t>スキャン対象のファイル拡張子（カンマ区切り）</t>
        </is>
      </c>
      <c r="H9" s="4" t="inlineStr">
        <is>
          <t>ConversionOptions.extensions</t>
        </is>
      </c>
    </row>
    <row r="10">
      <c r="A10" s="3" t="inlineStr">
        <is>
          <t>--no-disk</t>
        </is>
      </c>
      <c r="B10" s="3" t="inlineStr">
        <is>
          <t>-</t>
        </is>
      </c>
      <c r="C10" s="3" t="inlineStr">
        <is>
          <t>flag</t>
        </is>
      </c>
      <c r="D10" s="3" t="inlineStr">
        <is>
          <t>False</t>
        </is>
      </c>
      <c r="E10" s="3" t="inlineStr">
        <is>
          <t>No</t>
        </is>
      </c>
      <c r="F10" s="3" t="inlineStr">
        <is>
          <t>-</t>
        </is>
      </c>
      <c r="G10" s="3" t="inlineStr">
        <is>
          <t>ディスクイメージ変換をスキップ（設定ファイルのみ生成）</t>
        </is>
      </c>
      <c r="H10" s="3" t="inlineStr">
        <is>
          <t>ConversionOptions.convert_disk</t>
        </is>
      </c>
    </row>
    <row r="11">
      <c r="A11" s="4" t="inlineStr">
        <is>
          <t>--no-compress</t>
        </is>
      </c>
      <c r="B11" s="4" t="inlineStr">
        <is>
          <t>-</t>
        </is>
      </c>
      <c r="C11" s="4" t="inlineStr">
        <is>
          <t>flag</t>
        </is>
      </c>
      <c r="D11" s="4" t="inlineStr">
        <is>
          <t>False</t>
        </is>
      </c>
      <c r="E11" s="4" t="inlineStr">
        <is>
          <t>No</t>
        </is>
      </c>
      <c r="F11" s="4" t="inlineStr">
        <is>
          <t>-</t>
        </is>
      </c>
      <c r="G11" s="4" t="inlineStr">
        <is>
          <t>qcow2 圧縮を無効化</t>
        </is>
      </c>
      <c r="H11" s="4" t="inlineStr">
        <is>
          <t>ConversionOptions.compress_qcow2</t>
        </is>
      </c>
    </row>
    <row r="12">
      <c r="A12" s="3" t="inlineStr">
        <is>
          <t>--container</t>
        </is>
      </c>
      <c r="B12" s="3" t="inlineStr">
        <is>
          <t>-</t>
        </is>
      </c>
      <c r="C12" s="3" t="inlineStr">
        <is>
          <t>str</t>
        </is>
      </c>
      <c r="D12" s="3" t="inlineStr">
        <is>
          <t>default-container</t>
        </is>
      </c>
      <c r="E12" s="3" t="inlineStr">
        <is>
          <t>No</t>
        </is>
      </c>
      <c r="F12" s="3" t="inlineStr">
        <is>
          <t>-</t>
        </is>
      </c>
      <c r="G12" s="3" t="inlineStr">
        <is>
          <t>Nutanix コンテナ名</t>
        </is>
      </c>
      <c r="H12" s="3" t="inlineStr">
        <is>
          <t>ConversionOptions.nutanix_container</t>
        </is>
      </c>
    </row>
    <row r="13">
      <c r="A13" s="4" t="inlineStr">
        <is>
          <t>--network-map</t>
        </is>
      </c>
      <c r="B13" s="4" t="inlineStr">
        <is>
          <t>-</t>
        </is>
      </c>
      <c r="C13" s="4" t="inlineStr">
        <is>
          <t>str (path)</t>
        </is>
      </c>
      <c r="D13" s="4" t="inlineStr">
        <is>
          <t>auto</t>
        </is>
      </c>
      <c r="E13" s="4" t="inlineStr">
        <is>
          <t>No</t>
        </is>
      </c>
      <c r="F13" s="4" t="inlineStr">
        <is>
          <t>-</t>
        </is>
      </c>
      <c r="G13" s="4" t="inlineStr">
        <is>
          <t>network_map.json のパス。未指定時はBASE_DIR配下を自動検索</t>
        </is>
      </c>
      <c r="H13" s="4" t="inlineStr">
        <is>
          <t>ConversionOptions.network_map_path</t>
        </is>
      </c>
    </row>
    <row r="14">
      <c r="A14" s="3" t="inlineStr">
        <is>
          <t>--no-win-fallback</t>
        </is>
      </c>
      <c r="B14" s="3" t="inlineStr">
        <is>
          <t>-</t>
        </is>
      </c>
      <c r="C14" s="3" t="inlineStr">
        <is>
          <t>flag</t>
        </is>
      </c>
      <c r="D14" s="3" t="inlineStr">
        <is>
          <t>False</t>
        </is>
      </c>
      <c r="E14" s="3" t="inlineStr">
        <is>
          <t>No</t>
        </is>
      </c>
      <c r="F14" s="3" t="inlineStr">
        <is>
          <t>-</t>
        </is>
      </c>
      <c r="G14" s="3" t="inlineStr">
        <is>
          <t>Windows VM の SATA/IDE フォールバックを無効化（上級者向け）</t>
        </is>
      </c>
      <c r="H14" s="3" t="inlineStr">
        <is>
          <t>ConversionOptions.windows_bus_fallback</t>
        </is>
      </c>
    </row>
    <row r="15">
      <c r="A15" s="4" t="inlineStr">
        <is>
          <t>--virtio-iso</t>
        </is>
      </c>
      <c r="B15" s="4" t="inlineStr">
        <is>
          <t>-</t>
        </is>
      </c>
      <c r="C15" s="4" t="inlineStr">
        <is>
          <t>str (path)</t>
        </is>
      </c>
      <c r="D15" s="4" t="inlineStr">
        <is>
          <t>auto</t>
        </is>
      </c>
      <c r="E15" s="4" t="inlineStr">
        <is>
          <t>No</t>
        </is>
      </c>
      <c r="F15" s="4" t="inlineStr">
        <is>
          <t>-</t>
        </is>
      </c>
      <c r="G15" s="4" t="inlineStr">
        <is>
          <t>virtio-win.iso のファイルパス</t>
        </is>
      </c>
      <c r="H15" s="4" t="inlineStr">
        <is>
          <t>ConversionOptions.virtio_win_iso</t>
        </is>
      </c>
    </row>
    <row r="16">
      <c r="A16" s="3" t="inlineStr">
        <is>
          <t>--lang</t>
        </is>
      </c>
      <c r="B16" s="3" t="inlineStr">
        <is>
          <t>-</t>
        </is>
      </c>
      <c r="C16" s="3" t="inlineStr">
        <is>
          <t>str</t>
        </is>
      </c>
      <c r="D16" s="3" t="inlineStr">
        <is>
          <t>ja</t>
        </is>
      </c>
      <c r="E16" s="3" t="inlineStr">
        <is>
          <t>No</t>
        </is>
      </c>
      <c r="F16" s="3" t="inlineStr">
        <is>
          <t>ja / en</t>
        </is>
      </c>
      <c r="G16" s="3" t="inlineStr">
        <is>
          <t>UIおよびログの表示言語</t>
        </is>
      </c>
      <c r="H16" s="3" t="inlineStr">
        <is>
          <t>I18n.lang</t>
        </is>
      </c>
    </row>
    <row r="17">
      <c r="A17" s="4" t="inlineStr">
        <is>
          <t>--gui</t>
        </is>
      </c>
      <c r="B17" s="4" t="inlineStr">
        <is>
          <t>-</t>
        </is>
      </c>
      <c r="C17" s="4" t="inlineStr">
        <is>
          <t>flag</t>
        </is>
      </c>
      <c r="D17" s="4" t="inlineStr">
        <is>
          <t>False</t>
        </is>
      </c>
      <c r="E17" s="4" t="inlineStr">
        <is>
          <t>No</t>
        </is>
      </c>
      <c r="F17" s="4" t="inlineStr">
        <is>
          <t>-</t>
        </is>
      </c>
      <c r="G17" s="4" t="inlineStr">
        <is>
          <t>CLIオプション指定時でもGUIモードを強制起動</t>
        </is>
      </c>
      <c r="H17" s="4" t="inlineStr">
        <is>
          <t>main.py run_gui()</t>
        </is>
      </c>
    </row>
    <row r="18"/>
    <row r="19"/>
    <row r="20">
      <c r="A20" s="6" t="inlineStr">
        <is>
          <t>内部公開メソッド一覧</t>
        </is>
      </c>
    </row>
    <row r="21"/>
    <row r="22">
      <c r="A22" s="2" t="inlineStr">
        <is>
          <t>クラス</t>
        </is>
      </c>
      <c r="B22" s="2" t="inlineStr">
        <is>
          <t>メソッド名</t>
        </is>
      </c>
      <c r="C22" s="2" t="inlineStr">
        <is>
          <t>引数</t>
        </is>
      </c>
      <c r="D22" s="2" t="inlineStr">
        <is>
          <t>戻り値</t>
        </is>
      </c>
      <c r="E22" s="2" t="inlineStr">
        <is>
          <t>処理概要</t>
        </is>
      </c>
      <c r="F22" s="2" t="inlineStr">
        <is>
          <t>例外/エラー</t>
        </is>
      </c>
      <c r="G22" s="2" t="inlineStr">
        <is>
          <t>呼び出し元</t>
        </is>
      </c>
      <c r="H22" s="2" t="inlineStr">
        <is>
          <t>所属ファイル</t>
        </is>
      </c>
    </row>
    <row r="23">
      <c r="A23" s="3" t="inlineStr">
        <is>
          <t>VmxParser</t>
        </is>
      </c>
      <c r="B23" s="3" t="inlineStr">
        <is>
          <t>parse(vmx_path)</t>
        </is>
      </c>
      <c r="C23" s="3" t="inlineStr">
        <is>
          <t>vmx_path: str</t>
        </is>
      </c>
      <c r="D23" s="3" t="inlineStr">
        <is>
          <t>VMConfig</t>
        </is>
      </c>
      <c r="E23" s="3" t="inlineStr">
        <is>
          <t>.vmxファイルを読み込みVMConfigを返す</t>
        </is>
      </c>
      <c r="F23" s="3" t="inlineStr">
        <is>
          <t>UnicodeDecodeError → フォールバック</t>
        </is>
      </c>
      <c r="G23" s="3" t="inlineStr">
        <is>
          <t>Converter._convert_single</t>
        </is>
      </c>
      <c r="H23" s="3" t="inlineStr">
        <is>
          <t>vmx_parser.py</t>
        </is>
      </c>
    </row>
    <row r="24">
      <c r="A24" s="4" t="inlineStr">
        <is>
          <t>OvfParser</t>
        </is>
      </c>
      <c r="B24" s="4" t="inlineStr">
        <is>
          <t>parse(path)</t>
        </is>
      </c>
      <c r="C24" s="4" t="inlineStr">
        <is>
          <t>path: str</t>
        </is>
      </c>
      <c r="D24" s="4" t="inlineStr">
        <is>
          <t>(VMConfig, str)</t>
        </is>
      </c>
      <c r="E24" s="4" t="inlineStr">
        <is>
          <t>OVF/OVAを解析。OVAは自動展開。戻り値タプル (config, working_dir)</t>
        </is>
      </c>
      <c r="F24" s="4" t="inlineStr">
        <is>
          <t>ValueError: OVF not found in OVA</t>
        </is>
      </c>
      <c r="G24" s="4" t="inlineStr">
        <is>
          <t>Converter._convert_single</t>
        </is>
      </c>
      <c r="H24" s="4" t="inlineStr">
        <is>
          <t>ovf_parser.py</t>
        </is>
      </c>
    </row>
    <row r="25">
      <c r="A25" s="3" t="inlineStr">
        <is>
          <t>KvmGenerator</t>
        </is>
      </c>
      <c r="B25" s="3" t="inlineStr">
        <is>
          <t>generate(config, ...)</t>
        </is>
      </c>
      <c r="C25" s="3" t="inlineStr">
        <is>
          <t>config: VMConfig
output_dir: str
compress, thin, network_map,
windows_bus_fallback, virtio_win_iso</t>
        </is>
      </c>
      <c r="D25" s="3" t="inlineStr">
        <is>
          <t>dict</t>
        </is>
      </c>
      <c r="E25" s="3" t="inlineStr">
        <is>
          <t>libvirt XML + import.sh + disk_commands を生成し結果dictを返す</t>
        </is>
      </c>
      <c r="F25" s="3" t="inlineStr">
        <is>
          <t>-</t>
        </is>
      </c>
      <c r="G25" s="3" t="inlineStr">
        <is>
          <t>Converter._convert_single</t>
        </is>
      </c>
      <c r="H25" s="3" t="inlineStr">
        <is>
          <t>kvm_generator.py</t>
        </is>
      </c>
    </row>
    <row r="26">
      <c r="A26" s="4" t="inlineStr">
        <is>
          <t>NutanixGenerator</t>
        </is>
      </c>
      <c r="B26" s="4" t="inlineStr">
        <is>
          <t>generate(config, ...)</t>
        </is>
      </c>
      <c r="C26" s="4" t="inlineStr">
        <is>
          <t>config: VMConfig
output_dir: str
compress, container_name,
network_map</t>
        </is>
      </c>
      <c r="D26" s="4" t="inlineStr">
        <is>
          <t>dict</t>
        </is>
      </c>
      <c r="E26" s="4" t="inlineStr">
        <is>
          <t>acli.sh + api.sh + spec.json + disk_commands を生成し結果dictを返す</t>
        </is>
      </c>
      <c r="F26" s="4" t="inlineStr">
        <is>
          <t>-</t>
        </is>
      </c>
      <c r="G26" s="4" t="inlineStr">
        <is>
          <t>Converter._convert_single</t>
        </is>
      </c>
      <c r="H26" s="4" t="inlineStr">
        <is>
          <t>nutanix_generator.py</t>
        </is>
      </c>
    </row>
    <row r="27">
      <c r="A27" s="3" t="inlineStr">
        <is>
          <t>Converter</t>
        </is>
      </c>
      <c r="B27" s="3" t="inlineStr">
        <is>
          <t>scan_vms(input_dir, ext)</t>
        </is>
      </c>
      <c r="C27" s="3" t="inlineStr">
        <is>
          <t>input_dir: str
extensions: List[str]</t>
        </is>
      </c>
      <c r="D27" s="3" t="inlineStr">
        <is>
          <t>List[str]</t>
        </is>
      </c>
      <c r="E27" s="3" t="inlineStr">
        <is>
          <t>入力ディレクトリを再帰走査し対象ファイルパスのリストを返す</t>
        </is>
      </c>
      <c r="F27" s="3" t="inlineStr">
        <is>
          <t>-</t>
        </is>
      </c>
      <c r="G27" s="3" t="inlineStr">
        <is>
          <t>convert_all / main.py</t>
        </is>
      </c>
      <c r="H27" s="3" t="inlineStr">
        <is>
          <t>converter.py</t>
        </is>
      </c>
    </row>
    <row r="28">
      <c r="A28" s="4" t="inlineStr">
        <is>
          <t>Converter</t>
        </is>
      </c>
      <c r="B28" s="4" t="inlineStr">
        <is>
          <t>preflight_check(output_dir, vm_files, log_fn)</t>
        </is>
      </c>
      <c r="C28" s="4" t="inlineStr">
        <is>
          <t>output_dir: str
vm_files: List[str]
log_fn: Callable</t>
        </is>
      </c>
      <c r="D28" s="4" t="inlineStr">
        <is>
          <t>bool</t>
        </is>
      </c>
      <c r="E28" s="4" t="inlineStr">
        <is>
          <t>VMDK合計サイズと出力先空き容量を比較。不足ならFalse</t>
        </is>
      </c>
      <c r="F28" s="4" t="inlineStr">
        <is>
          <t>OSError → True (チェック不可時は続行)</t>
        </is>
      </c>
      <c r="G28" s="4" t="inlineStr">
        <is>
          <t>main.py / gui_controller.py</t>
        </is>
      </c>
      <c r="H28" s="4" t="inlineStr">
        <is>
          <t>converter.py</t>
        </is>
      </c>
    </row>
    <row r="29">
      <c r="A29" s="3" t="inlineStr">
        <is>
          <t>Converter</t>
        </is>
      </c>
      <c r="B29" s="3" t="inlineStr">
        <is>
          <t>estimate_total_vmdk_size(vm_files)</t>
        </is>
      </c>
      <c r="C29" s="3" t="inlineStr">
        <is>
          <t>vm_files: List[str]</t>
        </is>
      </c>
      <c r="D29" s="3" t="inlineStr">
        <is>
          <t>int (bytes)</t>
        </is>
      </c>
      <c r="E29" s="3" t="inlineStr">
        <is>
          <t>VMファイルを解析し全VMDKの合計バイト数を算出</t>
        </is>
      </c>
      <c r="F29" s="3" t="inlineStr">
        <is>
          <t>Exception → skip</t>
        </is>
      </c>
      <c r="G29" s="3" t="inlineStr">
        <is>
          <t>preflight_check</t>
        </is>
      </c>
      <c r="H29" s="3" t="inlineStr">
        <is>
          <t>converter.py</t>
        </is>
      </c>
    </row>
    <row r="30">
      <c r="A30" s="4" t="inlineStr">
        <is>
          <t>Converter</t>
        </is>
      </c>
      <c r="B30" s="4" t="inlineStr">
        <is>
          <t>convert_all(input_dir, output_dir, options, ...)</t>
        </is>
      </c>
      <c r="C30" s="4" t="inlineStr">
        <is>
          <t>input_dir, output_dir: str
options: ConversionOptions
log_fn, progress_fn: Callable</t>
        </is>
      </c>
      <c r="D30" s="4" t="inlineStr">
        <is>
          <t>List[ConversionResult]</t>
        </is>
      </c>
      <c r="E30" s="4" t="inlineStr">
        <is>
          <t>全VMを一括変換。ネットワークマップ読み込み→ループ変換→レポート出力</t>
        </is>
      </c>
      <c r="F30" s="4" t="inlineStr">
        <is>
          <t>-</t>
        </is>
      </c>
      <c r="G30" s="4" t="inlineStr">
        <is>
          <t>main.py / gui_controller.py</t>
        </is>
      </c>
      <c r="H30" s="4" t="inlineStr">
        <is>
          <t>converter.py</t>
        </is>
      </c>
    </row>
    <row r="31">
      <c r="A31" s="3" t="inlineStr">
        <is>
          <t>Converter</t>
        </is>
      </c>
      <c r="B31" s="3" t="inlineStr">
        <is>
          <t>load_network_map(path)</t>
        </is>
      </c>
      <c r="C31" s="3" t="inlineStr">
        <is>
          <t>path: str</t>
        </is>
      </c>
      <c r="D31" s="3" t="inlineStr">
        <is>
          <t>Dict</t>
        </is>
      </c>
      <c r="E31" s="3" t="inlineStr">
        <is>
          <t>JSONファイルを読み込みネットワークマッピング辞書を返す</t>
        </is>
      </c>
      <c r="F31" s="3" t="inlineStr">
        <is>
          <t>-</t>
        </is>
      </c>
      <c r="G31" s="3" t="inlineStr">
        <is>
          <t>convert_all</t>
        </is>
      </c>
      <c r="H31" s="3" t="inlineStr">
        <is>
          <t>converter.py</t>
        </is>
      </c>
    </row>
    <row r="32">
      <c r="A32" s="4" t="inlineStr">
        <is>
          <t>Converter</t>
        </is>
      </c>
      <c r="B32" s="4" t="inlineStr">
        <is>
          <t>stop()</t>
        </is>
      </c>
      <c r="C32" s="4" t="inlineStr">
        <is>
          <t>-</t>
        </is>
      </c>
      <c r="D32" s="4" t="inlineStr">
        <is>
          <t>None</t>
        </is>
      </c>
      <c r="E32" s="4" t="inlineStr">
        <is>
          <t>変換ループの停止フラグをセット</t>
        </is>
      </c>
      <c r="F32" s="4" t="inlineStr">
        <is>
          <t>-</t>
        </is>
      </c>
      <c r="G32" s="4" t="inlineStr">
        <is>
          <t>gui_controller.py</t>
        </is>
      </c>
      <c r="H32" s="4" t="inlineStr">
        <is>
          <t>converter.py</t>
        </is>
      </c>
    </row>
    <row r="33">
      <c r="A33" s="3" t="inlineStr">
        <is>
          <t>Converter</t>
        </is>
      </c>
      <c r="B33" s="3" t="inlineStr">
        <is>
          <t>_write_report(output_dir, results)</t>
        </is>
      </c>
      <c r="C33" s="3" t="inlineStr">
        <is>
          <t>output_dir: str
results: List[ConversionResult]</t>
        </is>
      </c>
      <c r="D33" s="3" t="inlineStr">
        <is>
          <t>None</t>
        </is>
      </c>
      <c r="E33" s="3" t="inlineStr">
        <is>
          <t>migration_report.csv と migration.log を出力</t>
        </is>
      </c>
      <c r="F33" s="3" t="inlineStr">
        <is>
          <t>-</t>
        </is>
      </c>
      <c r="G33" s="3" t="inlineStr">
        <is>
          <t>convert_all</t>
        </is>
      </c>
      <c r="H33" s="3" t="inlineStr">
        <is>
          <t>converter.py</t>
        </is>
      </c>
    </row>
    <row r="34">
      <c r="A34" s="4" t="inlineStr">
        <is>
          <t>I18n</t>
        </is>
      </c>
      <c r="B34" s="4" t="inlineStr">
        <is>
          <t>t(key, **kwargs)</t>
        </is>
      </c>
      <c r="C34" s="4" t="inlineStr">
        <is>
          <t>key: str, **kwargs</t>
        </is>
      </c>
      <c r="D34" s="4" t="inlineStr">
        <is>
          <t>str</t>
        </is>
      </c>
      <c r="E34" s="4" t="inlineStr">
        <is>
          <t>翻訳キーを現在言語で解決。{placeholder}をkwargsで置換</t>
        </is>
      </c>
      <c r="F34" s="4" t="inlineStr">
        <is>
          <t>-</t>
        </is>
      </c>
      <c r="G34" s="4" t="inlineStr">
        <is>
          <t>View / Controller / main.py</t>
        </is>
      </c>
      <c r="H34" s="4" t="inlineStr">
        <is>
          <t>i18n.py</t>
        </is>
      </c>
    </row>
    <row r="35">
      <c r="A35" s="3" t="inlineStr">
        <is>
          <t>I18n</t>
        </is>
      </c>
      <c r="B35" s="3" t="inlineStr">
        <is>
          <t>set_lang(lang)</t>
        </is>
      </c>
      <c r="C35" s="3" t="inlineStr">
        <is>
          <t>lang: str</t>
        </is>
      </c>
      <c r="D35" s="3" t="inlineStr">
        <is>
          <t>None</t>
        </is>
      </c>
      <c r="E35" s="3" t="inlineStr">
        <is>
          <t>表示言語を切り替え</t>
        </is>
      </c>
      <c r="F35" s="3" t="inlineStr">
        <is>
          <t>-</t>
        </is>
      </c>
      <c r="G35" s="3" t="inlineStr">
        <is>
          <t>gui_controller.py</t>
        </is>
      </c>
      <c r="H35" s="3" t="inlineStr">
        <is>
          <t>i18n.py</t>
        </is>
      </c>
    </row>
  </sheetData>
  <mergeCells count="3">
    <mergeCell ref="A20:H20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  <col width="24" customWidth="1" min="4" max="4"/>
    <col width="55" customWidth="1" min="5" max="5"/>
    <col width="12" customWidth="1" min="6" max="6"/>
    <col width="12" customWidth="1" min="7" max="7"/>
  </cols>
  <sheetData>
    <row r="1" ht="30" customHeight="1">
      <c r="A1" s="5" t="inlineStr">
        <is>
          <t>VMware2KVM データモデル定義書（詳細設計）— dataclass / 設定ファイル構造</t>
        </is>
      </c>
    </row>
    <row r="2"/>
    <row r="3">
      <c r="A3" s="7" t="inlineStr">
        <is>
          <t>VMConfig  (src/vmx_parser.py)</t>
        </is>
      </c>
    </row>
    <row r="4">
      <c r="A4" s="8" t="inlineStr">
        <is>
          <t>VM構成の統一データモデル。全パーサーの出力・全ジェネレーターの入力として使用される中核モデル。</t>
        </is>
      </c>
    </row>
    <row r="5">
      <c r="A5" s="9" t="inlineStr">
        <is>
          <t>フィールド名</t>
        </is>
      </c>
      <c r="B5" s="9" t="inlineStr">
        <is>
          <t>データ型</t>
        </is>
      </c>
      <c r="C5" s="9" t="inlineStr">
        <is>
          <t>制約</t>
        </is>
      </c>
      <c r="D5" s="9" t="inlineStr">
        <is>
          <t>デフォルト値</t>
        </is>
      </c>
      <c r="E5" s="9" t="inlineStr">
        <is>
          <t>論理名 / 説明</t>
        </is>
      </c>
    </row>
    <row r="6">
      <c r="A6" s="3" t="inlineStr">
        <is>
          <t>name</t>
        </is>
      </c>
      <c r="B6" s="3" t="inlineStr">
        <is>
          <t>str</t>
        </is>
      </c>
      <c r="C6" s="3" t="inlineStr">
        <is>
          <t>必須</t>
        </is>
      </c>
      <c r="D6" s="3" t="inlineStr">
        <is>
          <t>-</t>
        </is>
      </c>
      <c r="E6" s="3" t="inlineStr">
        <is>
          <t>VM内部名（サニタイズ済み、ファイル名安全）</t>
        </is>
      </c>
    </row>
    <row r="7">
      <c r="A7" s="4" t="inlineStr">
        <is>
          <t>display_name</t>
        </is>
      </c>
      <c r="B7" s="4" t="inlineStr">
        <is>
          <t>str</t>
        </is>
      </c>
      <c r="C7" s="4" t="inlineStr">
        <is>
          <t>必須</t>
        </is>
      </c>
      <c r="D7" s="4" t="inlineStr">
        <is>
          <t>-</t>
        </is>
      </c>
      <c r="E7" s="4" t="inlineStr">
        <is>
          <t>VM表示名（元の.vmxのdisplayName）</t>
        </is>
      </c>
    </row>
    <row r="8">
      <c r="A8" s="3" t="inlineStr">
        <is>
          <t>guest_os</t>
        </is>
      </c>
      <c r="B8" s="3" t="inlineStr">
        <is>
          <t>str</t>
        </is>
      </c>
      <c r="C8" s="3" t="inlineStr">
        <is>
          <t>必須</t>
        </is>
      </c>
      <c r="D8" s="3" t="inlineStr">
        <is>
          <t>-</t>
        </is>
      </c>
      <c r="E8" s="3" t="inlineStr">
        <is>
          <t>VMwareゲストOSコード (例: rhel8-64, windows2019srvnext-64)</t>
        </is>
      </c>
    </row>
    <row r="9">
      <c r="A9" s="4" t="inlineStr">
        <is>
          <t>num_cpus</t>
        </is>
      </c>
      <c r="B9" s="4" t="inlineStr">
        <is>
          <t>int</t>
        </is>
      </c>
      <c r="C9" s="4" t="inlineStr">
        <is>
          <t>必須</t>
        </is>
      </c>
      <c r="D9" s="4" t="inlineStr">
        <is>
          <t>-</t>
        </is>
      </c>
      <c r="E9" s="4" t="inlineStr">
        <is>
          <t>仮想CPU数</t>
        </is>
      </c>
    </row>
    <row r="10">
      <c r="A10" s="3" t="inlineStr">
        <is>
          <t>cores_per_socket</t>
        </is>
      </c>
      <c r="B10" s="3" t="inlineStr">
        <is>
          <t>int</t>
        </is>
      </c>
      <c r="C10" s="3" t="inlineStr">
        <is>
          <t>必須</t>
        </is>
      </c>
      <c r="D10" s="3" t="inlineStr">
        <is>
          <t>-</t>
        </is>
      </c>
      <c r="E10" s="3" t="inlineStr">
        <is>
          <t>ソケットあたりのコア数</t>
        </is>
      </c>
    </row>
    <row r="11">
      <c r="A11" s="4" t="inlineStr">
        <is>
          <t>memory_mb</t>
        </is>
      </c>
      <c r="B11" s="4" t="inlineStr">
        <is>
          <t>int</t>
        </is>
      </c>
      <c r="C11" s="4" t="inlineStr">
        <is>
          <t>必須</t>
        </is>
      </c>
      <c r="D11" s="4" t="inlineStr">
        <is>
          <t>-</t>
        </is>
      </c>
      <c r="E11" s="4" t="inlineStr">
        <is>
          <t>メモリサイズ (MB)</t>
        </is>
      </c>
    </row>
    <row r="12">
      <c r="A12" s="3" t="inlineStr">
        <is>
          <t>disks</t>
        </is>
      </c>
      <c r="B12" s="3" t="inlineStr">
        <is>
          <t>List[DiskInfo]</t>
        </is>
      </c>
      <c r="C12" s="3" t="inlineStr">
        <is>
          <t>-</t>
        </is>
      </c>
      <c r="D12" s="3" t="inlineStr">
        <is>
          <t>[]</t>
        </is>
      </c>
      <c r="E12" s="3" t="inlineStr">
        <is>
          <t>接続ディスク一覧</t>
        </is>
      </c>
    </row>
    <row r="13">
      <c r="A13" s="4" t="inlineStr">
        <is>
          <t>networks</t>
        </is>
      </c>
      <c r="B13" s="4" t="inlineStr">
        <is>
          <t>List[NetworkInfo]</t>
        </is>
      </c>
      <c r="C13" s="4" t="inlineStr">
        <is>
          <t>-</t>
        </is>
      </c>
      <c r="D13" s="4" t="inlineStr">
        <is>
          <t>[]</t>
        </is>
      </c>
      <c r="E13" s="4" t="inlineStr">
        <is>
          <t>接続ネットワーク一覧</t>
        </is>
      </c>
    </row>
    <row r="14">
      <c r="A14" s="3" t="inlineStr">
        <is>
          <t>firmware</t>
        </is>
      </c>
      <c r="B14" s="3" t="inlineStr">
        <is>
          <t>str</t>
        </is>
      </c>
      <c r="C14" s="3" t="inlineStr">
        <is>
          <t>-</t>
        </is>
      </c>
      <c r="D14" s="3" t="inlineStr">
        <is>
          <t>"bios"</t>
        </is>
      </c>
      <c r="E14" s="3" t="inlineStr">
        <is>
          <t>ファームウェア種別 (bios / efi)</t>
        </is>
      </c>
    </row>
    <row r="15">
      <c r="A15" s="4" t="inlineStr">
        <is>
          <t>source_file</t>
        </is>
      </c>
      <c r="B15" s="4" t="inlineStr">
        <is>
          <t>str</t>
        </is>
      </c>
      <c r="C15" s="4" t="inlineStr">
        <is>
          <t>-</t>
        </is>
      </c>
      <c r="D15" s="4" t="inlineStr">
        <is>
          <t>""</t>
        </is>
      </c>
      <c r="E15" s="4" t="inlineStr">
        <is>
          <t>解析元ファイルのフルパス</t>
        </is>
      </c>
    </row>
    <row r="16">
      <c r="A16" s="3" t="inlineStr">
        <is>
          <t>hardware_version</t>
        </is>
      </c>
      <c r="B16" s="3" t="inlineStr">
        <is>
          <t>int</t>
        </is>
      </c>
      <c r="C16" s="3" t="inlineStr">
        <is>
          <t>-</t>
        </is>
      </c>
      <c r="D16" s="3" t="inlineStr">
        <is>
          <t>0</t>
        </is>
      </c>
      <c r="E16" s="3" t="inlineStr">
        <is>
          <t>VMwareハードウェアバージョン</t>
        </is>
      </c>
    </row>
    <row r="17">
      <c r="A17" s="4" t="inlineStr">
        <is>
          <t>annotations</t>
        </is>
      </c>
      <c r="B17" s="4" t="inlineStr">
        <is>
          <t>str</t>
        </is>
      </c>
      <c r="C17" s="4" t="inlineStr">
        <is>
          <t>-</t>
        </is>
      </c>
      <c r="D17" s="4" t="inlineStr">
        <is>
          <t>""</t>
        </is>
      </c>
      <c r="E17" s="4" t="inlineStr">
        <is>
          <t>VMの注釈/メモ</t>
        </is>
      </c>
    </row>
    <row r="18">
      <c r="A18" s="3" t="inlineStr">
        <is>
          <t>extra</t>
        </is>
      </c>
      <c r="B18" s="3" t="inlineStr">
        <is>
          <t>Dict[str, str]</t>
        </is>
      </c>
      <c r="C18" s="3" t="inlineStr">
        <is>
          <t>-</t>
        </is>
      </c>
      <c r="D18" s="3" t="inlineStr">
        <is>
          <t>{}</t>
        </is>
      </c>
      <c r="E18" s="3" t="inlineStr">
        <is>
          <t>未分類のvmxプロパティ</t>
        </is>
      </c>
    </row>
    <row r="19"/>
    <row r="20">
      <c r="A20" s="7" t="inlineStr">
        <is>
          <t>DiskInfo  (src/vmx_parser.py)</t>
        </is>
      </c>
    </row>
    <row r="21">
      <c r="A21" s="8" t="inlineStr">
        <is>
          <t>VMに接続された仮想ディスクの情報。</t>
        </is>
      </c>
    </row>
    <row r="22">
      <c r="A22" s="9" t="inlineStr">
        <is>
          <t>フィールド名</t>
        </is>
      </c>
      <c r="B22" s="9" t="inlineStr">
        <is>
          <t>データ型</t>
        </is>
      </c>
      <c r="C22" s="9" t="inlineStr">
        <is>
          <t>制約</t>
        </is>
      </c>
      <c r="D22" s="9" t="inlineStr">
        <is>
          <t>デフォルト値</t>
        </is>
      </c>
      <c r="E22" s="9" t="inlineStr">
        <is>
          <t>論理名 / 説明</t>
        </is>
      </c>
    </row>
    <row r="23">
      <c r="A23" s="3" t="inlineStr">
        <is>
          <t>filename</t>
        </is>
      </c>
      <c r="B23" s="3" t="inlineStr">
        <is>
          <t>str</t>
        </is>
      </c>
      <c r="C23" s="3" t="inlineStr">
        <is>
          <t>必須</t>
        </is>
      </c>
      <c r="D23" s="3" t="inlineStr">
        <is>
          <t>-</t>
        </is>
      </c>
      <c r="E23" s="3" t="inlineStr">
        <is>
          <t>VMDKファイルパス（絶対パスに解決済み）</t>
        </is>
      </c>
    </row>
    <row r="24">
      <c r="A24" s="4" t="inlineStr">
        <is>
          <t>adapter_type</t>
        </is>
      </c>
      <c r="B24" s="4" t="inlineStr">
        <is>
          <t>str</t>
        </is>
      </c>
      <c r="C24" s="4" t="inlineStr">
        <is>
          <t>必須</t>
        </is>
      </c>
      <c r="D24" s="4" t="inlineStr">
        <is>
          <t>-</t>
        </is>
      </c>
      <c r="E24" s="4" t="inlineStr">
        <is>
          <t>コントローラ種別 (scsi / ide / sata / nvme)</t>
        </is>
      </c>
    </row>
    <row r="25">
      <c r="A25" s="3" t="inlineStr">
        <is>
          <t>controller_id</t>
        </is>
      </c>
      <c r="B25" s="3" t="inlineStr">
        <is>
          <t>int</t>
        </is>
      </c>
      <c r="C25" s="3" t="inlineStr">
        <is>
          <t>必須</t>
        </is>
      </c>
      <c r="D25" s="3" t="inlineStr">
        <is>
          <t>-</t>
        </is>
      </c>
      <c r="E25" s="3" t="inlineStr">
        <is>
          <t>コントローラID (0-3)</t>
        </is>
      </c>
    </row>
    <row r="26">
      <c r="A26" s="4" t="inlineStr">
        <is>
          <t>unit_id</t>
        </is>
      </c>
      <c r="B26" s="4" t="inlineStr">
        <is>
          <t>int</t>
        </is>
      </c>
      <c r="C26" s="4" t="inlineStr">
        <is>
          <t>必須</t>
        </is>
      </c>
      <c r="D26" s="4" t="inlineStr">
        <is>
          <t>-</t>
        </is>
      </c>
      <c r="E26" s="4" t="inlineStr">
        <is>
          <t>ユニットID (0-15)</t>
        </is>
      </c>
    </row>
    <row r="27">
      <c r="A27" s="3" t="inlineStr">
        <is>
          <t>size_kb</t>
        </is>
      </c>
      <c r="B27" s="3" t="inlineStr">
        <is>
          <t>int</t>
        </is>
      </c>
      <c r="C27" s="3" t="inlineStr">
        <is>
          <t>-</t>
        </is>
      </c>
      <c r="D27" s="3" t="inlineStr">
        <is>
          <t>0</t>
        </is>
      </c>
      <c r="E27" s="3" t="inlineStr">
        <is>
          <t>ディスクサイズ (KB)</t>
        </is>
      </c>
    </row>
    <row r="28">
      <c r="A28" s="4" t="inlineStr">
        <is>
          <t>mode</t>
        </is>
      </c>
      <c r="B28" s="4" t="inlineStr">
        <is>
          <t>str</t>
        </is>
      </c>
      <c r="C28" s="4" t="inlineStr">
        <is>
          <t>-</t>
        </is>
      </c>
      <c r="D28" s="4" t="inlineStr">
        <is>
          <t>"persistent"</t>
        </is>
      </c>
      <c r="E28" s="4" t="inlineStr">
        <is>
          <t>ディスクモード</t>
        </is>
      </c>
    </row>
    <row r="29">
      <c r="A29" s="3" t="inlineStr">
        <is>
          <t>thin</t>
        </is>
      </c>
      <c r="B29" s="3" t="inlineStr">
        <is>
          <t>bool</t>
        </is>
      </c>
      <c r="C29" s="3" t="inlineStr">
        <is>
          <t>-</t>
        </is>
      </c>
      <c r="D29" s="3" t="inlineStr">
        <is>
          <t>False</t>
        </is>
      </c>
      <c r="E29" s="3" t="inlineStr">
        <is>
          <t>シンプロビジョニングフラグ</t>
        </is>
      </c>
    </row>
    <row r="30"/>
    <row r="31">
      <c r="A31" s="7" t="inlineStr">
        <is>
          <t>NetworkInfo  (src/vmx_parser.py)</t>
        </is>
      </c>
    </row>
    <row r="32">
      <c r="A32" s="8" t="inlineStr">
        <is>
          <t>VMに接続されたネットワークアダプタの情報。</t>
        </is>
      </c>
    </row>
    <row r="33">
      <c r="A33" s="9" t="inlineStr">
        <is>
          <t>フィールド名</t>
        </is>
      </c>
      <c r="B33" s="9" t="inlineStr">
        <is>
          <t>データ型</t>
        </is>
      </c>
      <c r="C33" s="9" t="inlineStr">
        <is>
          <t>制約</t>
        </is>
      </c>
      <c r="D33" s="9" t="inlineStr">
        <is>
          <t>デフォルト値</t>
        </is>
      </c>
      <c r="E33" s="9" t="inlineStr">
        <is>
          <t>論理名 / 説明</t>
        </is>
      </c>
    </row>
    <row r="34">
      <c r="A34" s="3" t="inlineStr">
        <is>
          <t>adapter_type</t>
        </is>
      </c>
      <c r="B34" s="3" t="inlineStr">
        <is>
          <t>str</t>
        </is>
      </c>
      <c r="C34" s="3" t="inlineStr">
        <is>
          <t>必須</t>
        </is>
      </c>
      <c r="D34" s="3" t="inlineStr">
        <is>
          <t>-</t>
        </is>
      </c>
      <c r="E34" s="3" t="inlineStr">
        <is>
          <t>アダプタ種別 (e1000 / vmxnet3 / e1000e 等)</t>
        </is>
      </c>
    </row>
    <row r="35">
      <c r="A35" s="4" t="inlineStr">
        <is>
          <t>network_name</t>
        </is>
      </c>
      <c r="B35" s="4" t="inlineStr">
        <is>
          <t>str</t>
        </is>
      </c>
      <c r="C35" s="4" t="inlineStr">
        <is>
          <t>必須</t>
        </is>
      </c>
      <c r="D35" s="4" t="inlineStr">
        <is>
          <t>-</t>
        </is>
      </c>
      <c r="E35" s="4" t="inlineStr">
        <is>
          <t>VMwareポートグループ名 (例: VM Network)</t>
        </is>
      </c>
    </row>
    <row r="36">
      <c r="A36" s="3" t="inlineStr">
        <is>
          <t>mac_address</t>
        </is>
      </c>
      <c r="B36" s="3" t="inlineStr">
        <is>
          <t>str</t>
        </is>
      </c>
      <c r="C36" s="3" t="inlineStr">
        <is>
          <t>-</t>
        </is>
      </c>
      <c r="D36" s="3" t="inlineStr">
        <is>
          <t>""</t>
        </is>
      </c>
      <c r="E36" s="3" t="inlineStr">
        <is>
          <t>MACアドレス（移行先に引き継ぎ）</t>
        </is>
      </c>
    </row>
    <row r="37">
      <c r="A37" s="4" t="inlineStr">
        <is>
          <t>connected</t>
        </is>
      </c>
      <c r="B37" s="4" t="inlineStr">
        <is>
          <t>bool</t>
        </is>
      </c>
      <c r="C37" s="4" t="inlineStr">
        <is>
          <t>-</t>
        </is>
      </c>
      <c r="D37" s="4" t="inlineStr">
        <is>
          <t>True</t>
        </is>
      </c>
      <c r="E37" s="4" t="inlineStr">
        <is>
          <t>接続状態</t>
        </is>
      </c>
    </row>
    <row r="38"/>
    <row r="39">
      <c r="A39" s="7" t="inlineStr">
        <is>
          <t>ConversionOptions  (src/converter.py)</t>
        </is>
      </c>
    </row>
    <row r="40">
      <c r="A40" s="8" t="inlineStr">
        <is>
          <t>変換実行時のオプション設定。CLIArgs / GUIウィジェットから生成される。</t>
        </is>
      </c>
    </row>
    <row r="41">
      <c r="A41" s="9" t="inlineStr">
        <is>
          <t>フィールド名</t>
        </is>
      </c>
      <c r="B41" s="9" t="inlineStr">
        <is>
          <t>データ型</t>
        </is>
      </c>
      <c r="C41" s="9" t="inlineStr">
        <is>
          <t>制約</t>
        </is>
      </c>
      <c r="D41" s="9" t="inlineStr">
        <is>
          <t>デフォルト値</t>
        </is>
      </c>
      <c r="E41" s="9" t="inlineStr">
        <is>
          <t>論理名 / 説明</t>
        </is>
      </c>
    </row>
    <row r="42">
      <c r="A42" s="3" t="inlineStr">
        <is>
          <t>target</t>
        </is>
      </c>
      <c r="B42" s="3" t="inlineStr">
        <is>
          <t>str</t>
        </is>
      </c>
      <c r="C42" s="3" t="inlineStr">
        <is>
          <t>-</t>
        </is>
      </c>
      <c r="D42" s="3" t="inlineStr">
        <is>
          <t>"kvm"</t>
        </is>
      </c>
      <c r="E42" s="3" t="inlineStr">
        <is>
          <t>変換先: kvm / nutanix / both</t>
        </is>
      </c>
    </row>
    <row r="43">
      <c r="A43" s="4" t="inlineStr">
        <is>
          <t>convert_disk</t>
        </is>
      </c>
      <c r="B43" s="4" t="inlineStr">
        <is>
          <t>bool</t>
        </is>
      </c>
      <c r="C43" s="4" t="inlineStr">
        <is>
          <t>-</t>
        </is>
      </c>
      <c r="D43" s="4" t="inlineStr">
        <is>
          <t>True</t>
        </is>
      </c>
      <c r="E43" s="4" t="inlineStr">
        <is>
          <t>ディスクイメージ変換を実行するか</t>
        </is>
      </c>
    </row>
    <row r="44">
      <c r="A44" s="3" t="inlineStr">
        <is>
          <t>generate_config</t>
        </is>
      </c>
      <c r="B44" s="3" t="inlineStr">
        <is>
          <t>bool</t>
        </is>
      </c>
      <c r="C44" s="3" t="inlineStr">
        <is>
          <t>-</t>
        </is>
      </c>
      <c r="D44" s="3" t="inlineStr">
        <is>
          <t>True</t>
        </is>
      </c>
      <c r="E44" s="3" t="inlineStr">
        <is>
          <t>VM設定ファイルを生成するか</t>
        </is>
      </c>
    </row>
    <row r="45">
      <c r="A45" s="4" t="inlineStr">
        <is>
          <t>generate_script</t>
        </is>
      </c>
      <c r="B45" s="4" t="inlineStr">
        <is>
          <t>bool</t>
        </is>
      </c>
      <c r="C45" s="4" t="inlineStr">
        <is>
          <t>-</t>
        </is>
      </c>
      <c r="D45" s="4" t="inlineStr">
        <is>
          <t>True</t>
        </is>
      </c>
      <c r="E45" s="4" t="inlineStr">
        <is>
          <t>インポートスクリプトを生成するか</t>
        </is>
      </c>
    </row>
    <row r="46">
      <c r="A46" s="3" t="inlineStr">
        <is>
          <t>compress_qcow2</t>
        </is>
      </c>
      <c r="B46" s="3" t="inlineStr">
        <is>
          <t>bool</t>
        </is>
      </c>
      <c r="C46" s="3" t="inlineStr">
        <is>
          <t>-</t>
        </is>
      </c>
      <c r="D46" s="3" t="inlineStr">
        <is>
          <t>True</t>
        </is>
      </c>
      <c r="E46" s="3" t="inlineStr">
        <is>
          <t>qcow2圧縮を有効にするか</t>
        </is>
      </c>
    </row>
    <row r="47">
      <c r="A47" s="4" t="inlineStr">
        <is>
          <t>thin_provision</t>
        </is>
      </c>
      <c r="B47" s="4" t="inlineStr">
        <is>
          <t>bool</t>
        </is>
      </c>
      <c r="C47" s="4" t="inlineStr">
        <is>
          <t>-</t>
        </is>
      </c>
      <c r="D47" s="4" t="inlineStr">
        <is>
          <t>True</t>
        </is>
      </c>
      <c r="E47" s="4" t="inlineStr">
        <is>
          <t>シンプロビジョニング</t>
        </is>
      </c>
    </row>
    <row r="48">
      <c r="A48" s="3" t="inlineStr">
        <is>
          <t>nutanix_container</t>
        </is>
      </c>
      <c r="B48" s="3" t="inlineStr">
        <is>
          <t>str</t>
        </is>
      </c>
      <c r="C48" s="3" t="inlineStr">
        <is>
          <t>-</t>
        </is>
      </c>
      <c r="D48" s="3" t="inlineStr">
        <is>
          <t>"default-container"</t>
        </is>
      </c>
      <c r="E48" s="3" t="inlineStr">
        <is>
          <t>Nutanixコンテナ名</t>
        </is>
      </c>
    </row>
    <row r="49">
      <c r="A49" s="4" t="inlineStr">
        <is>
          <t>extensions</t>
        </is>
      </c>
      <c r="B49" s="4" t="inlineStr">
        <is>
          <t>List[str]</t>
        </is>
      </c>
      <c r="C49" s="4" t="inlineStr">
        <is>
          <t>-</t>
        </is>
      </c>
      <c r="D49" s="4" t="inlineStr">
        <is>
          <t>[".vmx",".ovf",".ova"]</t>
        </is>
      </c>
      <c r="E49" s="4" t="inlineStr">
        <is>
          <t>スキャン対象の拡張子リスト</t>
        </is>
      </c>
    </row>
    <row r="50">
      <c r="A50" s="3" t="inlineStr">
        <is>
          <t>network_map_path</t>
        </is>
      </c>
      <c r="B50" s="3" t="inlineStr">
        <is>
          <t>str</t>
        </is>
      </c>
      <c r="C50" s="3" t="inlineStr">
        <is>
          <t>-</t>
        </is>
      </c>
      <c r="D50" s="3" t="inlineStr">
        <is>
          <t>""</t>
        </is>
      </c>
      <c r="E50" s="3" t="inlineStr">
        <is>
          <t>network_map.json のパス</t>
        </is>
      </c>
    </row>
    <row r="51">
      <c r="A51" s="4" t="inlineStr">
        <is>
          <t>windows_bus_fallback</t>
        </is>
      </c>
      <c r="B51" s="4" t="inlineStr">
        <is>
          <t>bool</t>
        </is>
      </c>
      <c r="C51" s="4" t="inlineStr">
        <is>
          <t>-</t>
        </is>
      </c>
      <c r="D51" s="4" t="inlineStr">
        <is>
          <t>True</t>
        </is>
      </c>
      <c r="E51" s="4" t="inlineStr">
        <is>
          <t>Windows BSOD回避フォールバック</t>
        </is>
      </c>
    </row>
    <row r="52">
      <c r="A52" s="3" t="inlineStr">
        <is>
          <t>virtio_win_iso</t>
        </is>
      </c>
      <c r="B52" s="3" t="inlineStr">
        <is>
          <t>str</t>
        </is>
      </c>
      <c r="C52" s="3" t="inlineStr">
        <is>
          <t>-</t>
        </is>
      </c>
      <c r="D52" s="3" t="inlineStr">
        <is>
          <t>""</t>
        </is>
      </c>
      <c r="E52" s="3" t="inlineStr">
        <is>
          <t>virtio-win.iso のパス</t>
        </is>
      </c>
    </row>
    <row r="53"/>
    <row r="54">
      <c r="A54" s="7" t="inlineStr">
        <is>
          <t>ConversionResult  (src/converter.py)</t>
        </is>
      </c>
    </row>
    <row r="55">
      <c r="A55" s="8" t="inlineStr">
        <is>
          <t>1VM分の変換結果。convert_allの戻り値リスト要素。</t>
        </is>
      </c>
    </row>
    <row r="56">
      <c r="A56" s="9" t="inlineStr">
        <is>
          <t>フィールド名</t>
        </is>
      </c>
      <c r="B56" s="9" t="inlineStr">
        <is>
          <t>データ型</t>
        </is>
      </c>
      <c r="C56" s="9" t="inlineStr">
        <is>
          <t>制約</t>
        </is>
      </c>
      <c r="D56" s="9" t="inlineStr">
        <is>
          <t>デフォルト値</t>
        </is>
      </c>
      <c r="E56" s="9" t="inlineStr">
        <is>
          <t>論理名 / 説明</t>
        </is>
      </c>
    </row>
    <row r="57">
      <c r="A57" s="3" t="inlineStr">
        <is>
          <t>vm_name</t>
        </is>
      </c>
      <c r="B57" s="3" t="inlineStr">
        <is>
          <t>str</t>
        </is>
      </c>
      <c r="C57" s="3" t="inlineStr">
        <is>
          <t>必須</t>
        </is>
      </c>
      <c r="D57" s="3" t="inlineStr">
        <is>
          <t>-</t>
        </is>
      </c>
      <c r="E57" s="3" t="inlineStr">
        <is>
          <t>VM名</t>
        </is>
      </c>
    </row>
    <row r="58">
      <c r="A58" s="4" t="inlineStr">
        <is>
          <t>success</t>
        </is>
      </c>
      <c r="B58" s="4" t="inlineStr">
        <is>
          <t>bool</t>
        </is>
      </c>
      <c r="C58" s="4" t="inlineStr">
        <is>
          <t>必須</t>
        </is>
      </c>
      <c r="D58" s="4" t="inlineStr">
        <is>
          <t>-</t>
        </is>
      </c>
      <c r="E58" s="4" t="inlineStr">
        <is>
          <t>変換成否</t>
        </is>
      </c>
    </row>
    <row r="59">
      <c r="A59" s="3" t="inlineStr">
        <is>
          <t>config</t>
        </is>
      </c>
      <c r="B59" s="3" t="inlineStr">
        <is>
          <t>Optional[VMConfig]</t>
        </is>
      </c>
      <c r="C59" s="3" t="inlineStr">
        <is>
          <t>-</t>
        </is>
      </c>
      <c r="D59" s="3" t="inlineStr">
        <is>
          <t>None</t>
        </is>
      </c>
      <c r="E59" s="3" t="inlineStr">
        <is>
          <t>解析済みVM構成</t>
        </is>
      </c>
    </row>
    <row r="60">
      <c r="A60" s="4" t="inlineStr">
        <is>
          <t>kvm_result</t>
        </is>
      </c>
      <c r="B60" s="4" t="inlineStr">
        <is>
          <t>Optional[dict]</t>
        </is>
      </c>
      <c r="C60" s="4" t="inlineStr">
        <is>
          <t>-</t>
        </is>
      </c>
      <c r="D60" s="4" t="inlineStr">
        <is>
          <t>None</t>
        </is>
      </c>
      <c r="E60" s="4" t="inlineStr">
        <is>
          <t>KVM生成結果 (xml_path, disk_commands等)</t>
        </is>
      </c>
    </row>
    <row r="61">
      <c r="A61" s="3" t="inlineStr">
        <is>
          <t>nutanix_result</t>
        </is>
      </c>
      <c r="B61" s="3" t="inlineStr">
        <is>
          <t>Optional[dict]</t>
        </is>
      </c>
      <c r="C61" s="3" t="inlineStr">
        <is>
          <t>-</t>
        </is>
      </c>
      <c r="D61" s="3" t="inlineStr">
        <is>
          <t>None</t>
        </is>
      </c>
      <c r="E61" s="3" t="inlineStr">
        <is>
          <t>Nutanix生成結果 (acli_script, api_script等)</t>
        </is>
      </c>
    </row>
    <row r="62">
      <c r="A62" s="4" t="inlineStr">
        <is>
          <t>error</t>
        </is>
      </c>
      <c r="B62" s="4" t="inlineStr">
        <is>
          <t>str</t>
        </is>
      </c>
      <c r="C62" s="4" t="inlineStr">
        <is>
          <t>-</t>
        </is>
      </c>
      <c r="D62" s="4" t="inlineStr">
        <is>
          <t>""</t>
        </is>
      </c>
      <c r="E62" s="4" t="inlineStr">
        <is>
          <t>エラーメッセージ</t>
        </is>
      </c>
    </row>
    <row r="63">
      <c r="A63" s="3" t="inlineStr">
        <is>
          <t>disk_converted</t>
        </is>
      </c>
      <c r="B63" s="3" t="inlineStr">
        <is>
          <t>bool</t>
        </is>
      </c>
      <c r="C63" s="3" t="inlineStr">
        <is>
          <t>-</t>
        </is>
      </c>
      <c r="D63" s="3" t="inlineStr">
        <is>
          <t>False</t>
        </is>
      </c>
      <c r="E63" s="3" t="inlineStr">
        <is>
          <t>ディスク変換成否</t>
        </is>
      </c>
    </row>
    <row r="64">
      <c r="A64" s="4" t="inlineStr">
        <is>
          <t>elapsed_sec</t>
        </is>
      </c>
      <c r="B64" s="4" t="inlineStr">
        <is>
          <t>float</t>
        </is>
      </c>
      <c r="C64" s="4" t="inlineStr">
        <is>
          <t>-</t>
        </is>
      </c>
      <c r="D64" s="4" t="inlineStr">
        <is>
          <t>0.0</t>
        </is>
      </c>
      <c r="E64" s="4" t="inlineStr">
        <is>
          <t>処理所要時間（秒）</t>
        </is>
      </c>
    </row>
    <row r="65"/>
    <row r="66">
      <c r="A66" s="7" t="inlineStr">
        <is>
          <t>ConversionState  (src/gui_model.py)</t>
        </is>
      </c>
    </row>
    <row r="67">
      <c r="A67" s="8" t="inlineStr">
        <is>
          <t>GUI変換状態の管理モデル。Controllerが更新しViewが参照する。</t>
        </is>
      </c>
    </row>
    <row r="68">
      <c r="A68" s="9" t="inlineStr">
        <is>
          <t>フィールド名</t>
        </is>
      </c>
      <c r="B68" s="9" t="inlineStr">
        <is>
          <t>データ型</t>
        </is>
      </c>
      <c r="C68" s="9" t="inlineStr">
        <is>
          <t>制約</t>
        </is>
      </c>
      <c r="D68" s="9" t="inlineStr">
        <is>
          <t>デフォルト値</t>
        </is>
      </c>
      <c r="E68" s="9" t="inlineStr">
        <is>
          <t>論理名 / 説明</t>
        </is>
      </c>
    </row>
    <row r="69">
      <c r="A69" s="3" t="inlineStr">
        <is>
          <t>running</t>
        </is>
      </c>
      <c r="B69" s="3" t="inlineStr">
        <is>
          <t>bool</t>
        </is>
      </c>
      <c r="C69" s="3" t="inlineStr">
        <is>
          <t>-</t>
        </is>
      </c>
      <c r="D69" s="3" t="inlineStr">
        <is>
          <t>False</t>
        </is>
      </c>
      <c r="E69" s="3" t="inlineStr">
        <is>
          <t>変換実行中フラグ</t>
        </is>
      </c>
    </row>
    <row r="70">
      <c r="A70" s="4" t="inlineStr">
        <is>
          <t>total</t>
        </is>
      </c>
      <c r="B70" s="4" t="inlineStr">
        <is>
          <t>int</t>
        </is>
      </c>
      <c r="C70" s="4" t="inlineStr">
        <is>
          <t>-</t>
        </is>
      </c>
      <c r="D70" s="4" t="inlineStr">
        <is>
          <t>0</t>
        </is>
      </c>
      <c r="E70" s="4" t="inlineStr">
        <is>
          <t>変換対象VM総数</t>
        </is>
      </c>
    </row>
    <row r="71">
      <c r="A71" s="3" t="inlineStr">
        <is>
          <t>current</t>
        </is>
      </c>
      <c r="B71" s="3" t="inlineStr">
        <is>
          <t>int</t>
        </is>
      </c>
      <c r="C71" s="3" t="inlineStr">
        <is>
          <t>-</t>
        </is>
      </c>
      <c r="D71" s="3" t="inlineStr">
        <is>
          <t>0</t>
        </is>
      </c>
      <c r="E71" s="3" t="inlineStr">
        <is>
          <t>現在処理中のインデックス</t>
        </is>
      </c>
    </row>
    <row r="72">
      <c r="A72" s="4" t="inlineStr">
        <is>
          <t>success</t>
        </is>
      </c>
      <c r="B72" s="4" t="inlineStr">
        <is>
          <t>int</t>
        </is>
      </c>
      <c r="C72" s="4" t="inlineStr">
        <is>
          <t>-</t>
        </is>
      </c>
      <c r="D72" s="4" t="inlineStr">
        <is>
          <t>0</t>
        </is>
      </c>
      <c r="E72" s="4" t="inlineStr">
        <is>
          <t>成功数</t>
        </is>
      </c>
    </row>
    <row r="73">
      <c r="A73" s="3" t="inlineStr">
        <is>
          <t>errors</t>
        </is>
      </c>
      <c r="B73" s="3" t="inlineStr">
        <is>
          <t>List[str]</t>
        </is>
      </c>
      <c r="C73" s="3" t="inlineStr">
        <is>
          <t>-</t>
        </is>
      </c>
      <c r="D73" s="3" t="inlineStr">
        <is>
          <t>[]</t>
        </is>
      </c>
      <c r="E73" s="3" t="inlineStr">
        <is>
          <t>エラーメッセージリスト</t>
        </is>
      </c>
    </row>
    <row r="74"/>
    <row r="75">
      <c r="A75" s="7" t="inlineStr">
        <is>
          <t>network_map.json  (network_map.json)</t>
        </is>
      </c>
    </row>
    <row r="76">
      <c r="A76" s="8" t="inlineStr">
        <is>
          <t>ネットワークマッピング外部設定ファイル。VMwareポートグループ名をKVM/Nutanix環境のネットワークに変換する。</t>
        </is>
      </c>
    </row>
    <row r="77">
      <c r="A77" s="9" t="inlineStr">
        <is>
          <t>フィールド名</t>
        </is>
      </c>
      <c r="B77" s="9" t="inlineStr">
        <is>
          <t>データ型</t>
        </is>
      </c>
      <c r="C77" s="9" t="inlineStr">
        <is>
          <t>制約</t>
        </is>
      </c>
      <c r="D77" s="9" t="inlineStr">
        <is>
          <t>デフォルト値</t>
        </is>
      </c>
      <c r="E77" s="9" t="inlineStr">
        <is>
          <t>論理名 / 説明</t>
        </is>
      </c>
    </row>
    <row r="78">
      <c r="A78" s="3" t="inlineStr">
        <is>
          <t>kvm.{ネットワーク名}.type</t>
        </is>
      </c>
      <c r="B78" s="3" t="inlineStr">
        <is>
          <t>str</t>
        </is>
      </c>
      <c r="C78" s="3" t="inlineStr">
        <is>
          <t>-</t>
        </is>
      </c>
      <c r="D78" s="3" t="inlineStr">
        <is>
          <t>-</t>
        </is>
      </c>
      <c r="E78" s="3" t="inlineStr">
        <is>
          <t>KVM接続タイプ (bridge / network)</t>
        </is>
      </c>
    </row>
    <row r="79">
      <c r="A79" s="4" t="inlineStr">
        <is>
          <t>kvm.{ネットワーク名}.name</t>
        </is>
      </c>
      <c r="B79" s="4" t="inlineStr">
        <is>
          <t>str</t>
        </is>
      </c>
      <c r="C79" s="4" t="inlineStr">
        <is>
          <t>-</t>
        </is>
      </c>
      <c r="D79" s="4" t="inlineStr">
        <is>
          <t>-</t>
        </is>
      </c>
      <c r="E79" s="4" t="inlineStr">
        <is>
          <t>KVMブリッジ名またはlibvirtネットワーク名</t>
        </is>
      </c>
    </row>
    <row r="80">
      <c r="A80" s="3" t="inlineStr">
        <is>
          <t>nutanix.{ネットワーク名}.subnet_name</t>
        </is>
      </c>
      <c r="B80" s="3" t="inlineStr">
        <is>
          <t>str</t>
        </is>
      </c>
      <c r="C80" s="3" t="inlineStr">
        <is>
          <t>-</t>
        </is>
      </c>
      <c r="D80" s="3" t="inlineStr">
        <is>
          <t>-</t>
        </is>
      </c>
      <c r="E80" s="3" t="inlineStr">
        <is>
          <t>Nutanixサブネット名</t>
        </is>
      </c>
    </row>
    <row r="81">
      <c r="A81" s="4" t="inlineStr">
        <is>
          <t>nutanix.{ネットワーク名}.subnet_uuid</t>
        </is>
      </c>
      <c r="B81" s="4" t="inlineStr">
        <is>
          <t>str</t>
        </is>
      </c>
      <c r="C81" s="4" t="inlineStr">
        <is>
          <t>-</t>
        </is>
      </c>
      <c r="D81" s="4" t="inlineStr">
        <is>
          <t>-</t>
        </is>
      </c>
      <c r="E81" s="4" t="inlineStr">
        <is>
          <t>NutanixサブネットUUID</t>
        </is>
      </c>
    </row>
    <row r="82">
      <c r="A82" s="3" t="inlineStr">
        <is>
          <t>nutanix.{ネットワーク名}.vlan_id</t>
        </is>
      </c>
      <c r="B82" s="3" t="inlineStr">
        <is>
          <t>int</t>
        </is>
      </c>
      <c r="C82" s="3" t="inlineStr">
        <is>
          <t>-</t>
        </is>
      </c>
      <c r="D82" s="3" t="inlineStr">
        <is>
          <t>0</t>
        </is>
      </c>
      <c r="E82" s="3" t="inlineStr">
        <is>
          <t>VLAN ID</t>
        </is>
      </c>
    </row>
    <row r="83"/>
    <row r="84">
      <c r="A84" s="7" t="inlineStr">
        <is>
          <t>GUEST_OS_MAP  (src/vmx_parser.py)</t>
        </is>
      </c>
    </row>
    <row r="85">
      <c r="A85" s="8" t="inlineStr">
        <is>
          <t>VMware guestOSコードから(OSファミリー, libvirt os-variant)へのマッピング定数。27エントリ。</t>
        </is>
      </c>
    </row>
    <row r="86">
      <c r="A86" s="9" t="inlineStr">
        <is>
          <t>フィールド名</t>
        </is>
      </c>
      <c r="B86" s="9" t="inlineStr">
        <is>
          <t>データ型</t>
        </is>
      </c>
      <c r="C86" s="9" t="inlineStr">
        <is>
          <t>制約</t>
        </is>
      </c>
      <c r="D86" s="9" t="inlineStr">
        <is>
          <t>デフォルト値</t>
        </is>
      </c>
      <c r="E86" s="9" t="inlineStr">
        <is>
          <t>論理名 / 説明</t>
        </is>
      </c>
    </row>
    <row r="87">
      <c r="A87" s="3" t="inlineStr">
        <is>
          <t>キー</t>
        </is>
      </c>
      <c r="B87" s="3" t="inlineStr">
        <is>
          <t>値</t>
        </is>
      </c>
      <c r="C87" s="3" t="inlineStr">
        <is>
          <t>-</t>
        </is>
      </c>
      <c r="D87" s="3" t="inlineStr">
        <is>
          <t>-</t>
        </is>
      </c>
      <c r="E87" s="3" t="inlineStr">
        <is>
          <t>マッピング例</t>
        </is>
      </c>
    </row>
    <row r="88">
      <c r="A88" s="4" t="inlineStr">
        <is>
          <t>windows9-64</t>
        </is>
      </c>
      <c r="B88" s="4" t="inlineStr">
        <is>
          <t>("windows", "win10")</t>
        </is>
      </c>
      <c r="C88" s="4" t="inlineStr">
        <is>
          <t>-</t>
        </is>
      </c>
      <c r="D88" s="4" t="inlineStr">
        <is>
          <t>-</t>
        </is>
      </c>
      <c r="E88" s="4" t="inlineStr">
        <is>
          <t>Windows 10 64bit</t>
        </is>
      </c>
    </row>
    <row r="89">
      <c r="A89" s="3" t="inlineStr">
        <is>
          <t>windows2019srvnext-64</t>
        </is>
      </c>
      <c r="B89" s="3" t="inlineStr">
        <is>
          <t>("windows", "win2k22")</t>
        </is>
      </c>
      <c r="C89" s="3" t="inlineStr">
        <is>
          <t>-</t>
        </is>
      </c>
      <c r="D89" s="3" t="inlineStr">
        <is>
          <t>-</t>
        </is>
      </c>
      <c r="E89" s="3" t="inlineStr">
        <is>
          <t>Windows Server 2022</t>
        </is>
      </c>
    </row>
    <row r="90">
      <c r="A90" s="4" t="inlineStr">
        <is>
          <t>rhel8-64</t>
        </is>
      </c>
      <c r="B90" s="4" t="inlineStr">
        <is>
          <t>("linux", "rhel8.0")</t>
        </is>
      </c>
      <c r="C90" s="4" t="inlineStr">
        <is>
          <t>-</t>
        </is>
      </c>
      <c r="D90" s="4" t="inlineStr">
        <is>
          <t>-</t>
        </is>
      </c>
      <c r="E90" s="4" t="inlineStr">
        <is>
          <t>Red Hat Enterprise Linux 8</t>
        </is>
      </c>
    </row>
    <row r="91">
      <c r="A91" s="3" t="inlineStr">
        <is>
          <t>centos8-64</t>
        </is>
      </c>
      <c r="B91" s="3" t="inlineStr">
        <is>
          <t>("linux", "centos8")</t>
        </is>
      </c>
      <c r="C91" s="3" t="inlineStr">
        <is>
          <t>-</t>
        </is>
      </c>
      <c r="D91" s="3" t="inlineStr">
        <is>
          <t>-</t>
        </is>
      </c>
      <c r="E91" s="3" t="inlineStr">
        <is>
          <t>CentOS 8</t>
        </is>
      </c>
    </row>
    <row r="92">
      <c r="A92" s="4" t="inlineStr">
        <is>
          <t>ubuntu-64</t>
        </is>
      </c>
      <c r="B92" s="4" t="inlineStr">
        <is>
          <t>("linux", "ubuntu20.04")</t>
        </is>
      </c>
      <c r="C92" s="4" t="inlineStr">
        <is>
          <t>-</t>
        </is>
      </c>
      <c r="D92" s="4" t="inlineStr">
        <is>
          <t>-</t>
        </is>
      </c>
      <c r="E92" s="4" t="inlineStr">
        <is>
          <t>Ubuntu 64bit</t>
        </is>
      </c>
    </row>
    <row r="93">
      <c r="A93" s="3" t="inlineStr">
        <is>
          <t>other</t>
        </is>
      </c>
      <c r="B93" s="3" t="inlineStr">
        <is>
          <t>("linux", "generic")</t>
        </is>
      </c>
      <c r="C93" s="3" t="inlineStr">
        <is>
          <t>-</t>
        </is>
      </c>
      <c r="D93" s="3" t="inlineStr">
        <is>
          <t>-</t>
        </is>
      </c>
      <c r="E93" s="3" t="inlineStr">
        <is>
          <t>不明なOS → generic</t>
        </is>
      </c>
    </row>
  </sheetData>
  <mergeCells count="17">
    <mergeCell ref="A32:G32"/>
    <mergeCell ref="A84:G84"/>
    <mergeCell ref="A66:G66"/>
    <mergeCell ref="A1:G1"/>
    <mergeCell ref="A40:G40"/>
    <mergeCell ref="A67:G67"/>
    <mergeCell ref="A31:G31"/>
    <mergeCell ref="A3:G3"/>
    <mergeCell ref="A21:G21"/>
    <mergeCell ref="A39:G39"/>
    <mergeCell ref="A55:G55"/>
    <mergeCell ref="A4:G4"/>
    <mergeCell ref="A20:G20"/>
    <mergeCell ref="A54:G54"/>
    <mergeCell ref="A76:G76"/>
    <mergeCell ref="A85:G85"/>
    <mergeCell ref="A75:G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5" customWidth="1" min="4" max="4"/>
    <col width="55" customWidth="1" min="5" max="5"/>
    <col width="35" customWidth="1" min="6" max="6"/>
    <col width="34" customWidth="1" min="7" max="7"/>
  </cols>
  <sheetData>
    <row r="1" ht="30" customHeight="1">
      <c r="A1" s="5" t="inlineStr">
        <is>
          <t>VMware2KVM エラー・ログ定義書（詳細設計）</t>
        </is>
      </c>
    </row>
    <row r="2"/>
    <row r="3">
      <c r="A3" s="2" t="inlineStr">
        <is>
          <t>i18nキー</t>
        </is>
      </c>
      <c r="B3" s="2" t="inlineStr">
        <is>
          <t>カテゴリ</t>
        </is>
      </c>
      <c r="C3" s="2" t="inlineStr">
        <is>
          <t>ログレベル</t>
        </is>
      </c>
      <c r="D3" s="2" t="inlineStr">
        <is>
          <t>日本語メッセージ</t>
        </is>
      </c>
      <c r="E3" s="2" t="inlineStr">
        <is>
          <t>英語メッセージ</t>
        </is>
      </c>
      <c r="F3" s="2" t="inlineStr">
        <is>
          <t>出力タイミング</t>
        </is>
      </c>
      <c r="G3" s="2" t="inlineStr">
        <is>
          <t>発生箇所</t>
        </is>
      </c>
    </row>
    <row r="4">
      <c r="A4" s="3" t="inlineStr">
        <is>
          <t>error.no_input</t>
        </is>
      </c>
      <c r="B4" s="3" t="inlineStr">
        <is>
          <t>入力エラー</t>
        </is>
      </c>
      <c r="C4" s="3" t="inlineStr">
        <is>
          <t>ERROR</t>
        </is>
      </c>
      <c r="D4" s="3" t="inlineStr">
        <is>
          <t>入力フォルダを選択してください</t>
        </is>
      </c>
      <c r="E4" s="3" t="inlineStr">
        <is>
          <t>Please select an input folder</t>
        </is>
      </c>
      <c r="F4" s="3" t="inlineStr">
        <is>
          <t>変換実行ボタン押下時</t>
        </is>
      </c>
      <c r="G4" s="3" t="inlineStr">
        <is>
          <t>gui_controller.py</t>
        </is>
      </c>
    </row>
    <row r="5">
      <c r="A5" s="4" t="inlineStr">
        <is>
          <t>error.no_output</t>
        </is>
      </c>
      <c r="B5" s="4" t="inlineStr">
        <is>
          <t>入力エラー</t>
        </is>
      </c>
      <c r="C5" s="4" t="inlineStr">
        <is>
          <t>ERROR</t>
        </is>
      </c>
      <c r="D5" s="4" t="inlineStr">
        <is>
          <t>出力フォルダを選択してください</t>
        </is>
      </c>
      <c r="E5" s="4" t="inlineStr">
        <is>
          <t>Please select an output folder</t>
        </is>
      </c>
      <c r="F5" s="4" t="inlineStr">
        <is>
          <t>変換実行ボタン押下時</t>
        </is>
      </c>
      <c r="G5" s="4" t="inlineStr">
        <is>
          <t>gui_controller.py</t>
        </is>
      </c>
    </row>
    <row r="6">
      <c r="A6" s="3" t="inlineStr">
        <is>
          <t>error.input_not_found</t>
        </is>
      </c>
      <c r="B6" s="3" t="inlineStr">
        <is>
          <t>入力エラー</t>
        </is>
      </c>
      <c r="C6" s="3" t="inlineStr">
        <is>
          <t>ERROR</t>
        </is>
      </c>
      <c r="D6" s="3" t="inlineStr">
        <is>
          <t>入力フォルダが存在しません</t>
        </is>
      </c>
      <c r="E6" s="3" t="inlineStr">
        <is>
          <t>Input folder does not exist</t>
        </is>
      </c>
      <c r="F6" s="3" t="inlineStr">
        <is>
          <t>変換実行ボタン押下時</t>
        </is>
      </c>
      <c r="G6" s="3" t="inlineStr">
        <is>
          <t>gui_controller.py</t>
        </is>
      </c>
    </row>
    <row r="7">
      <c r="A7" s="4" t="inlineStr">
        <is>
          <t>error.no_vms</t>
        </is>
      </c>
      <c r="B7" s="4" t="inlineStr">
        <is>
          <t>入力エラー</t>
        </is>
      </c>
      <c r="C7" s="4" t="inlineStr">
        <is>
          <t>INFO</t>
        </is>
      </c>
      <c r="D7" s="4" t="inlineStr">
        <is>
          <t>VMwareファイルが見つかりません</t>
        </is>
      </c>
      <c r="E7" s="4" t="inlineStr">
        <is>
          <t>No VMware files found</t>
        </is>
      </c>
      <c r="F7" s="4" t="inlineStr">
        <is>
          <t>スキャン後VM数が0の場合</t>
        </is>
      </c>
      <c r="G7" s="4" t="inlineStr">
        <is>
          <t>gui_controller.py / main.py</t>
        </is>
      </c>
    </row>
    <row r="8">
      <c r="A8" s="3" t="inlineStr">
        <is>
          <t>error.qemu_not_found</t>
        </is>
      </c>
      <c r="B8" s="3" t="inlineStr">
        <is>
          <t>外部依存</t>
        </is>
      </c>
      <c r="C8" s="3" t="inlineStr">
        <is>
          <t>WARN</t>
        </is>
      </c>
      <c r="D8" s="3" t="inlineStr">
        <is>
          <t>qemu-img が見つかりません。コマンド生成のみ行います。</t>
        </is>
      </c>
      <c r="E8" s="3" t="inlineStr">
        <is>
          <t>qemu-img not found. Generating commands only.</t>
        </is>
      </c>
      <c r="F8" s="3" t="inlineStr">
        <is>
          <t>ディスク変換実行時にPATHにqemu-imgがない</t>
        </is>
      </c>
      <c r="G8" s="3" t="inlineStr">
        <is>
          <t>converter.py</t>
        </is>
      </c>
    </row>
    <row r="9">
      <c r="A9" s="4" t="inlineStr">
        <is>
          <t>error.disk_space</t>
        </is>
      </c>
      <c r="B9" s="4" t="inlineStr">
        <is>
          <t>容量エラー</t>
        </is>
      </c>
      <c r="C9" s="4" t="inlineStr">
        <is>
          <t>ERROR</t>
        </is>
      </c>
      <c r="D9" s="4" t="inlineStr">
        <is>
          <t>出力先のディスク容量が不足しています ({vmdk_size} GB 必要 / {free_size} GB 空き)</t>
        </is>
      </c>
      <c r="E9" s="4" t="inlineStr">
        <is>
          <t>Insufficient disk space ({vmdk_size} GB needed / {free_size} GB free)</t>
        </is>
      </c>
      <c r="F9" s="4" t="inlineStr">
        <is>
          <t>Pre-flightチェック失敗時（GUI）</t>
        </is>
      </c>
      <c r="G9" s="4" t="inlineStr">
        <is>
          <t>gui_controller.py</t>
        </is>
      </c>
    </row>
    <row r="10">
      <c r="A10" s="3" t="inlineStr">
        <is>
          <t>log.start</t>
        </is>
      </c>
      <c r="B10" s="3" t="inlineStr">
        <is>
          <t>変換開始</t>
        </is>
      </c>
      <c r="C10" s="3" t="inlineStr">
        <is>
          <t>INFO</t>
        </is>
      </c>
      <c r="D10" s="3">
        <f>== VMware → {target} 変換開始 ===</f>
        <v/>
      </c>
      <c r="E10" s="3">
        <f>== VMware → {target} conversion started ===</f>
        <v/>
      </c>
      <c r="F10" s="3" t="inlineStr">
        <is>
          <t>convert_all開始時</t>
        </is>
      </c>
      <c r="G10" s="3" t="inlineStr">
        <is>
          <t>gui_controller.py / main.py</t>
        </is>
      </c>
    </row>
    <row r="11">
      <c r="A11" s="4" t="inlineStr">
        <is>
          <t>log.found</t>
        </is>
      </c>
      <c r="B11" s="4" t="inlineStr">
        <is>
          <t>スキャン</t>
        </is>
      </c>
      <c r="C11" s="4" t="inlineStr">
        <is>
          <t>INFO</t>
        </is>
      </c>
      <c r="D11" s="4" t="inlineStr">
        <is>
          <t>{count} 個のVMを検出</t>
        </is>
      </c>
      <c r="E11" s="4" t="inlineStr">
        <is>
          <t>{count} VM(s) found</t>
        </is>
      </c>
      <c r="F11" s="4" t="inlineStr">
        <is>
          <t>scan_vms完了後</t>
        </is>
      </c>
      <c r="G11" s="4" t="inlineStr">
        <is>
          <t>gui_controller.py / main.py</t>
        </is>
      </c>
    </row>
    <row r="12">
      <c r="A12" s="3" t="inlineStr">
        <is>
          <t>log.vm_start</t>
        </is>
      </c>
      <c r="B12" s="3" t="inlineStr">
        <is>
          <t>VM変換</t>
        </is>
      </c>
      <c r="C12" s="3" t="inlineStr">
        <is>
          <t>INFO</t>
        </is>
      </c>
      <c r="D12" s="3" t="inlineStr">
        <is>
          <t>--- VM変換開始: {name} ---</t>
        </is>
      </c>
      <c r="E12" s="3" t="inlineStr">
        <is>
          <t>--- Converting VM: {name} ---</t>
        </is>
      </c>
      <c r="F12" s="3" t="inlineStr">
        <is>
          <t>各VM変換開始時</t>
        </is>
      </c>
      <c r="G12" s="3" t="inlineStr">
        <is>
          <t>converter.py</t>
        </is>
      </c>
    </row>
    <row r="13">
      <c r="A13" s="4" t="inlineStr">
        <is>
          <t>log.parsing_vmx</t>
        </is>
      </c>
      <c r="B13" s="4" t="inlineStr">
        <is>
          <t>解析</t>
        </is>
      </c>
      <c r="C13" s="4" t="inlineStr">
        <is>
          <t>INFO</t>
        </is>
      </c>
      <c r="D13" s="4" t="inlineStr">
        <is>
          <t>VMX解析中: {file}</t>
        </is>
      </c>
      <c r="E13" s="4" t="inlineStr">
        <is>
          <t>Parsing VMX: {file}</t>
        </is>
      </c>
      <c r="F13" s="4" t="inlineStr">
        <is>
          <t>.vmx解析開始時</t>
        </is>
      </c>
      <c r="G13" s="4" t="inlineStr">
        <is>
          <t>converter.py</t>
        </is>
      </c>
    </row>
    <row r="14">
      <c r="A14" s="3" t="inlineStr">
        <is>
          <t>log.parsing_ovf</t>
        </is>
      </c>
      <c r="B14" s="3" t="inlineStr">
        <is>
          <t>解析</t>
        </is>
      </c>
      <c r="C14" s="3" t="inlineStr">
        <is>
          <t>INFO</t>
        </is>
      </c>
      <c r="D14" s="3" t="inlineStr">
        <is>
          <t>OVF解析中: {file}</t>
        </is>
      </c>
      <c r="E14" s="3" t="inlineStr">
        <is>
          <t>Parsing OVF: {file}</t>
        </is>
      </c>
      <c r="F14" s="3" t="inlineStr">
        <is>
          <t>.ovf/.ova解析開始時</t>
        </is>
      </c>
      <c r="G14" s="3" t="inlineStr">
        <is>
          <t>converter.py</t>
        </is>
      </c>
    </row>
    <row r="15">
      <c r="A15" s="4" t="inlineStr">
        <is>
          <t>log.generating_xml</t>
        </is>
      </c>
      <c r="B15" s="4" t="inlineStr">
        <is>
          <t>生成</t>
        </is>
      </c>
      <c r="C15" s="4" t="inlineStr">
        <is>
          <t>INFO</t>
        </is>
      </c>
      <c r="D15" s="4" t="inlineStr">
        <is>
          <t>libvirt XML生成中: {name}</t>
        </is>
      </c>
      <c r="E15" s="4" t="inlineStr">
        <is>
          <t>Generating libvirt XML: {name}</t>
        </is>
      </c>
      <c r="F15" s="4" t="inlineStr">
        <is>
          <t>KVM XML生成開始時</t>
        </is>
      </c>
      <c r="G15" s="4" t="inlineStr">
        <is>
          <t>converter.py</t>
        </is>
      </c>
    </row>
    <row r="16">
      <c r="A16" s="3" t="inlineStr">
        <is>
          <t>log.generating_nutanix</t>
        </is>
      </c>
      <c r="B16" s="3" t="inlineStr">
        <is>
          <t>生成</t>
        </is>
      </c>
      <c r="C16" s="3" t="inlineStr">
        <is>
          <t>INFO</t>
        </is>
      </c>
      <c r="D16" s="3" t="inlineStr">
        <is>
          <t>Nutanixインポートスクリプト生成中: {name}</t>
        </is>
      </c>
      <c r="E16" s="3" t="inlineStr">
        <is>
          <t>Generating Nutanix import script: {name}</t>
        </is>
      </c>
      <c r="F16" s="3" t="inlineStr">
        <is>
          <t>Nutanixスクリプト生成開始時</t>
        </is>
      </c>
      <c r="G16" s="3" t="inlineStr">
        <is>
          <t>converter.py</t>
        </is>
      </c>
    </row>
    <row r="17">
      <c r="A17" s="4" t="inlineStr">
        <is>
          <t>log.converting_disk</t>
        </is>
      </c>
      <c r="B17" s="4" t="inlineStr">
        <is>
          <t>ディスク</t>
        </is>
      </c>
      <c r="C17" s="4" t="inlineStr">
        <is>
          <t>INFO</t>
        </is>
      </c>
      <c r="D17" s="4" t="inlineStr">
        <is>
          <t>ディスク変換中: {file}</t>
        </is>
      </c>
      <c r="E17" s="4" t="inlineStr">
        <is>
          <t>Converting disk: {file}</t>
        </is>
      </c>
      <c r="F17" s="4" t="inlineStr">
        <is>
          <t>qemu-img実行中</t>
        </is>
      </c>
      <c r="G17" s="4" t="inlineStr">
        <is>
          <t>converter.py</t>
        </is>
      </c>
    </row>
    <row r="18">
      <c r="A18" s="3" t="inlineStr">
        <is>
          <t>log.disk_done</t>
        </is>
      </c>
      <c r="B18" s="3" t="inlineStr">
        <is>
          <t>ディスク</t>
        </is>
      </c>
      <c r="C18" s="3" t="inlineStr">
        <is>
          <t>INFO</t>
        </is>
      </c>
      <c r="D18" s="3" t="inlineStr">
        <is>
          <t>ディスク変換完了: {file}</t>
        </is>
      </c>
      <c r="E18" s="3" t="inlineStr">
        <is>
          <t>Disk conversion done: {file}</t>
        </is>
      </c>
      <c r="F18" s="3" t="inlineStr">
        <is>
          <t>qemu-img正常完了時</t>
        </is>
      </c>
      <c r="G18" s="3" t="inlineStr">
        <is>
          <t>converter.py</t>
        </is>
      </c>
    </row>
    <row r="19">
      <c r="A19" s="4" t="inlineStr">
        <is>
          <t>log.skip_disk</t>
        </is>
      </c>
      <c r="B19" s="4" t="inlineStr">
        <is>
          <t>ディスク</t>
        </is>
      </c>
      <c r="C19" s="4" t="inlineStr">
        <is>
          <t>WARN</t>
        </is>
      </c>
      <c r="D19" s="4" t="inlineStr">
        <is>
          <t>ディスク変換スキップ (手動でqemu-imgを実行してください)</t>
        </is>
      </c>
      <c r="E19" s="4" t="inlineStr">
        <is>
          <t>Disk conversion skipped (run qemu-img manually)</t>
        </is>
      </c>
      <c r="F19" s="4" t="inlineStr">
        <is>
          <t>qemu-img未導入時</t>
        </is>
      </c>
      <c r="G19" s="4" t="inlineStr">
        <is>
          <t>converter.py</t>
        </is>
      </c>
    </row>
    <row r="20">
      <c r="A20" s="3" t="inlineStr">
        <is>
          <t>log.cmd_hint</t>
        </is>
      </c>
      <c r="B20" s="3" t="inlineStr">
        <is>
          <t>情報</t>
        </is>
      </c>
      <c r="C20" s="3" t="inlineStr">
        <is>
          <t>DEBUG</t>
        </is>
      </c>
      <c r="D20" s="3" t="inlineStr">
        <is>
          <t>実行コマンド: {cmd}</t>
        </is>
      </c>
      <c r="E20" s="3" t="inlineStr">
        <is>
          <t>Command: {cmd}</t>
        </is>
      </c>
      <c r="F20" s="3" t="inlineStr">
        <is>
          <t>生成コマンドの表示</t>
        </is>
      </c>
      <c r="G20" s="3" t="inlineStr">
        <is>
          <t>converter.py</t>
        </is>
      </c>
    </row>
    <row r="21">
      <c r="A21" s="4" t="inlineStr">
        <is>
          <t>log.vm_done</t>
        </is>
      </c>
      <c r="B21" s="4" t="inlineStr">
        <is>
          <t>VM変換</t>
        </is>
      </c>
      <c r="C21" s="4" t="inlineStr">
        <is>
          <t>INFO</t>
        </is>
      </c>
      <c r="D21" s="4" t="inlineStr">
        <is>
          <t>VM変換完了: {name}</t>
        </is>
      </c>
      <c r="E21" s="4" t="inlineStr">
        <is>
          <t>VM conversion done: {name}</t>
        </is>
      </c>
      <c r="F21" s="4" t="inlineStr">
        <is>
          <t>各VM変換完了時</t>
        </is>
      </c>
      <c r="G21" s="4" t="inlineStr">
        <is>
          <t>converter.py</t>
        </is>
      </c>
    </row>
    <row r="22">
      <c r="A22" s="3" t="inlineStr">
        <is>
          <t>log.complete</t>
        </is>
      </c>
      <c r="B22" s="3" t="inlineStr">
        <is>
          <t>変換完了</t>
        </is>
      </c>
      <c r="C22" s="3" t="inlineStr">
        <is>
          <t>INFO</t>
        </is>
      </c>
      <c r="D22" s="3">
        <f>== 変換完了: {success}/{total} 成功 ===</f>
        <v/>
      </c>
      <c r="E22" s="3">
        <f>== Conversion complete: {success}/{total} succeeded ===</f>
        <v/>
      </c>
      <c r="F22" s="3" t="inlineStr">
        <is>
          <t>convert_all完了時</t>
        </is>
      </c>
      <c r="G22" s="3" t="inlineStr">
        <is>
          <t>gui_controller.py</t>
        </is>
      </c>
    </row>
    <row r="23">
      <c r="A23" s="4" t="inlineStr">
        <is>
          <t>log.error</t>
        </is>
      </c>
      <c r="B23" s="4" t="inlineStr">
        <is>
          <t>エラー</t>
        </is>
      </c>
      <c r="C23" s="4" t="inlineStr">
        <is>
          <t>ERROR</t>
        </is>
      </c>
      <c r="D23" s="4" t="inlineStr">
        <is>
          <t>[エラー] {message}</t>
        </is>
      </c>
      <c r="E23" s="4" t="inlineStr">
        <is>
          <t>[ERROR] {message}</t>
        </is>
      </c>
      <c r="F23" s="4" t="inlineStr">
        <is>
          <t>例外・失敗発生時</t>
        </is>
      </c>
      <c r="G23" s="4" t="inlineStr">
        <is>
          <t>converter.py / gui_controller.py</t>
        </is>
      </c>
    </row>
    <row r="24">
      <c r="A24" s="3" t="inlineStr">
        <is>
          <t>log.preflight_disk</t>
        </is>
      </c>
      <c r="B24" s="3" t="inlineStr">
        <is>
          <t>事前チェック</t>
        </is>
      </c>
      <c r="C24" s="3" t="inlineStr">
        <is>
          <t>INFO</t>
        </is>
      </c>
      <c r="D24" s="3" t="inlineStr">
        <is>
          <t>事前チェック: VMDK合計 {vmdk_size} GB / 出力先空き {free_size} GB</t>
        </is>
      </c>
      <c r="E24" s="3" t="inlineStr">
        <is>
          <t>Pre-flight: VMDK total {vmdk_size} GB / Output free {free_size} GB</t>
        </is>
      </c>
      <c r="F24" s="3" t="inlineStr">
        <is>
          <t>Pre-flightチェック実行時</t>
        </is>
      </c>
      <c r="G24" s="3" t="inlineStr">
        <is>
          <t>converter.py</t>
        </is>
      </c>
    </row>
    <row r="25">
      <c r="A25" s="4" t="inlineStr">
        <is>
          <t>log.preflight_fail</t>
        </is>
      </c>
      <c r="B25" s="4" t="inlineStr">
        <is>
          <t>事前チェック</t>
        </is>
      </c>
      <c r="C25" s="4" t="inlineStr">
        <is>
          <t>ERROR</t>
        </is>
      </c>
      <c r="D25" s="4" t="inlineStr">
        <is>
          <t>容量不足! VMDK合計 {vmdk_size} GB &gt; 空き {free_size} GB。処理を中断します。</t>
        </is>
      </c>
      <c r="E25" s="4" t="inlineStr">
        <is>
          <t>Insufficient space! VMDK total {vmdk_size} GB &gt; Free {free_size} GB. Aborting.</t>
        </is>
      </c>
      <c r="F25" s="4" t="inlineStr">
        <is>
          <t>Pre-flightチェック失敗時</t>
        </is>
      </c>
      <c r="G25" s="4" t="inlineStr">
        <is>
          <t>converter.py</t>
        </is>
      </c>
    </row>
    <row r="26">
      <c r="A26" s="3" t="inlineStr">
        <is>
          <t>status.ready</t>
        </is>
      </c>
      <c r="B26" s="3" t="inlineStr">
        <is>
          <t>ステータス</t>
        </is>
      </c>
      <c r="C26" s="3" t="inlineStr">
        <is>
          <t>INFO</t>
        </is>
      </c>
      <c r="D26" s="3" t="inlineStr">
        <is>
          <t>準備完了</t>
        </is>
      </c>
      <c r="E26" s="3" t="inlineStr">
        <is>
          <t>Ready</t>
        </is>
      </c>
      <c r="F26" s="3" t="inlineStr">
        <is>
          <t>GUI初期表示時</t>
        </is>
      </c>
      <c r="G26" s="3" t="inlineStr">
        <is>
          <t>gui_view.py</t>
        </is>
      </c>
    </row>
    <row r="27">
      <c r="A27" s="4" t="inlineStr">
        <is>
          <t>status.converting</t>
        </is>
      </c>
      <c r="B27" s="4" t="inlineStr">
        <is>
          <t>ステータス</t>
        </is>
      </c>
      <c r="C27" s="4" t="inlineStr">
        <is>
          <t>INFO</t>
        </is>
      </c>
      <c r="D27" s="4" t="inlineStr">
        <is>
          <t>変換中: {file} ({current}/{total})</t>
        </is>
      </c>
      <c r="E27" s="4" t="inlineStr">
        <is>
          <t>Converting: {file} ({current}/{total})</t>
        </is>
      </c>
      <c r="F27" s="4" t="inlineStr">
        <is>
          <t>変換ループ中</t>
        </is>
      </c>
      <c r="G27" s="4" t="inlineStr">
        <is>
          <t>gui_controller.py</t>
        </is>
      </c>
    </row>
    <row r="28">
      <c r="A28" s="3" t="inlineStr">
        <is>
          <t>status.done</t>
        </is>
      </c>
      <c r="B28" s="3" t="inlineStr">
        <is>
          <t>ステータス</t>
        </is>
      </c>
      <c r="C28" s="3" t="inlineStr">
        <is>
          <t>INFO</t>
        </is>
      </c>
      <c r="D28" s="3" t="inlineStr">
        <is>
          <t>完了: {success}/{total} 成功</t>
        </is>
      </c>
      <c r="E28" s="3" t="inlineStr">
        <is>
          <t>Done: {success}/{total} succeeded</t>
        </is>
      </c>
      <c r="F28" s="3" t="inlineStr">
        <is>
          <t>変換完了時</t>
        </is>
      </c>
      <c r="G28" s="3" t="inlineStr">
        <is>
          <t>gui_controller.py</t>
        </is>
      </c>
    </row>
    <row r="29">
      <c r="A29" s="4" t="inlineStr">
        <is>
          <t>status.error</t>
        </is>
      </c>
      <c r="B29" s="4" t="inlineStr">
        <is>
          <t>ステータス</t>
        </is>
      </c>
      <c r="C29" s="4" t="inlineStr">
        <is>
          <t>ERROR</t>
        </is>
      </c>
      <c r="D29" s="4" t="inlineStr">
        <is>
          <t>エラー: {message}</t>
        </is>
      </c>
      <c r="E29" s="4" t="inlineStr">
        <is>
          <t>Error: {message}</t>
        </is>
      </c>
      <c r="F29" s="4" t="inlineStr">
        <is>
          <t>予期しない例外発生時</t>
        </is>
      </c>
      <c r="G29" s="4" t="inlineStr">
        <is>
          <t>gui_controller.py</t>
        </is>
      </c>
    </row>
    <row r="30">
      <c r="A30" s="3" t="inlineStr">
        <is>
          <t>status.stopped</t>
        </is>
      </c>
      <c r="B30" s="3" t="inlineStr">
        <is>
          <t>ステータス</t>
        </is>
      </c>
      <c r="C30" s="3" t="inlineStr">
        <is>
          <t>WARN</t>
        </is>
      </c>
      <c r="D30" s="3" t="inlineStr">
        <is>
          <t>停止されました</t>
        </is>
      </c>
      <c r="E30" s="3" t="inlineStr">
        <is>
          <t>Stopped</t>
        </is>
      </c>
      <c r="F30" s="3" t="inlineStr">
        <is>
          <t>ユーザーが停止ボタン押下時</t>
        </is>
      </c>
      <c r="G30" s="3" t="inlineStr">
        <is>
          <t>gui_controller.py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</cols>
  <sheetData>
    <row r="1" ht="30" customHeight="1">
      <c r="A1" s="5" t="inlineStr">
        <is>
          <t>VMware2KVM アーキテクチャ図解（Mermaid記法）</t>
        </is>
      </c>
    </row>
    <row r="3">
      <c r="A3" s="10" t="inlineStr">
        <is>
          <t>システム構成図（コンポーネント図）</t>
        </is>
      </c>
    </row>
    <row r="4">
      <c r="A4" s="11" t="inlineStr">
        <is>
          <t>Mermaid Live Editor (https://mermaid.live) にペーストして表示してください</t>
        </is>
      </c>
    </row>
    <row r="5">
      <c r="A5" s="12" t="inlineStr">
        <is>
          <t>graph TB
    subgraph "VMware2KVM"
        subgraph "Frontend"
            GUI["GUI (tkinter)&lt;br/&gt;gui_view.py"]
            CLI["CLI (argparse)&lt;br/&gt;main.py"]
            I18N["I18n&lt;br/&gt;i18n.py"]
        end
        subgraph "Controller"
            CTRL["ConversionController&lt;br/&gt;gui_controller.py"]
        end
        subgraph "Backend - Parsers"
            VMX["VmxParser&lt;br/&gt;vmx_parser.py"]
            OVF["OvfParser&lt;br/&gt;ovf_parser.py"]
        end
        subgraph "Backend - Generators"
            KVM["KvmGenerator&lt;br/&gt;kvm_generator.py"]
            NTX["NutanixGenerator&lt;br/&gt;nutanix_generator.py"]
        end
        subgraph "Backend - Orchestrator"
            CONV["Converter&lt;br/&gt;converter.py"]
        end
        subgraph "Data Models"
            CFG["VMConfig / DiskInfo / NetworkInfo"]
            OPT["ConversionOptions / ConversionResult"]
        end
        subgraph "Config"
            NMAP["network_map.json"]
        end
    end
    GUI --&gt; CTRL
    CLI --&gt; CONV
    CTRL --&gt; CONV
    CONV --&gt; VMX
    CONV --&gt; OVF
    CONV --&gt; KVM
    CONV --&gt; NTX
    VMX --&gt; CFG
    OVF --&gt; CFG
    KVM --&gt; CFG
    NTX --&gt; CFG
    CONV --&gt; OPT
    CONV --&gt; NMAP
    GUI --&gt; I18N
    CLI --&gt; I18N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2">
      <c r="A52" s="10" t="inlineStr">
        <is>
          <t>変換処理シーケンス図</t>
        </is>
      </c>
    </row>
    <row r="53">
      <c r="A53" s="11" t="inlineStr">
        <is>
          <t>Mermaid Live Editor (https://mermaid.live) にペーストして表示してください</t>
        </is>
      </c>
    </row>
    <row r="54">
      <c r="A54" s="12" t="inlineStr">
        <is>
          <t>sequenceDiagram
    participant U as User
    participant M as main.py / GUI
    participant C as Converter
    participant P as VmxParser / OvfParser
    participant KG as KvmGenerator
    participant NG as NutanixGenerator
    participant FS as FileSystem
    U-&gt;&gt;M: 変換実行 (input_dir, output_dir, options)
    M-&gt;&gt;C: convert_all(input_dir, output_dir, options)
    C-&gt;&gt;C: load_network_map(path)
    C-&gt;&gt;C: scan_vms(input_dir, extensions)
    C--&gt;&gt;M: progress_fn(0, total)
    loop 各VMファイル
        C-&gt;&gt;C: time.time() → t_start
        C-&gt;&gt;P: parse(vm_file)
        P-&gt;&gt;FS: read .vmx / .ovf / .ova
        P--&gt;&gt;C: VMConfig
        alt target = kvm or both
            C-&gt;&gt;KG: generate(config, output_dir, ...)
            KG-&gt;&gt;FS: write {name}.xml
            KG-&gt;&gt;FS: write import_{name}.sh
            KG--&gt;&gt;C: kvm_result dict
        end
        alt target = nutanix or both
            C-&gt;&gt;NG: generate(config, output_dir, ...)
            NG-&gt;&gt;FS: write import_{name}_acli.sh
            NG-&gt;&gt;FS: write import_{name}_api.sh
            NG-&gt;&gt;FS: write {name}_spec.json
            NG--&gt;&gt;C: nutanix_result dict
        end
        C-&gt;&gt;C: elapsed_sec = time.time() - t_start
        C--&gt;&gt;M: progress_fn(i, total)
    end
    C-&gt;&gt;FS: write migration_report.csv
    C-&gt;&gt;FS: write migration.log
    C--&gt;&gt;M: List[ConversionResult]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9">
      <c r="A99" s="10" t="inlineStr">
        <is>
          <t>データモデルER図</t>
        </is>
      </c>
    </row>
    <row r="100">
      <c r="A100" s="11" t="inlineStr">
        <is>
          <t>Mermaid Live Editor (https://mermaid.live) にペーストして表示してください</t>
        </is>
      </c>
    </row>
    <row r="101">
      <c r="A101" s="12" t="inlineStr">
        <is>
          <t xml:space="preserve">erDiagram
    VMConfig ||--o{ DiskInfo : "has disks"
    VMConfig ||--o{ NetworkInfo : "has networks"
    VMConfig {
        str name PK
        str display_name
        str guest_os
        int num_cpus
        int cores_per_socket
        int memory_mb
        str firmware
        str source_file
        int hardware_version
        str annotations
    }
    DiskInfo {
        str filename
        str adapter_type
        int controller_id
        int unit_id
        int size_kb
        str mode
        bool thin
    }
    NetworkInfo {
        str adapter_type
        str network_name
        str mac_address
        bool connected
    }
    ConversionOptions {
        str target
        bool convert_disk
        bool generate_config
        bool compress_qcow2
        str nutanix_container
        str network_map_path
        bool windows_bus_fallback
        str virtio_win_iso
    }
    ConversionResult {
        str vm_name
        bool success
        float elapsed_sec
        str error
        bool disk_converted
    }
    ConversionResult ||--o| VMConfig : "references"
    ConversionOptions --o| Converter : "input to"
    Converter ||--o{ ConversionResult : "produces" </t>
        </is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3">
      <c r="A153" s="10" t="inlineStr">
        <is>
          <t>GUI MVC 構成図</t>
        </is>
      </c>
    </row>
    <row r="154">
      <c r="A154" s="11" t="inlineStr">
        <is>
          <t>Mermaid Live Editor (https://mermaid.live) にペーストして表示してください</t>
        </is>
      </c>
    </row>
    <row r="155">
      <c r="A155" s="12" t="inlineStr">
        <is>
          <t>graph LR
    subgraph Model
        M1["ConversionState&lt;br/&gt;(running, total, current, success, errors)"]
        M2["ConversionOptions"]
        M3["TARGET_OPTIONS / DEFAULT_EXTENSIONS"]
    end
    subgraph View
        V1["VMware2KVMView&lt;br/&gt;tkinter widgets"]
        V2["ScrolledText (log)"]
        V3["Progressbar"]
        V4["Combobox (target/lang)"]
        V5["Checkbuttons (options)"]
    end
    subgraph Controller
        C1["ConversionController&lt;br/&gt;event handling"]
    end
    subgraph Backend
        B1["Converter"]
    end
    V1 --&gt;|bind_command| C1
    V4 --&gt;|&lt;&lt;ComboboxSelected&gt;&gt;| C1
    C1 --&gt;|read vars| V1
    C1 --&gt;|append_log / set_running| V1
    C1 --&gt;|threading.Thread| B1
    B1 --&gt;|root.after callback| V1
    C1 --&gt;|update| M1</t>
        </is>
      </c>
    </row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4">
      <c r="A184" s="10" t="inlineStr">
        <is>
          <t>ファイル出力マップ</t>
        </is>
      </c>
    </row>
    <row r="185">
      <c r="A185" s="11" t="inlineStr">
        <is>
          <t>Mermaid Live Editor (https://mermaid.live) にペーストして表示してください</t>
        </is>
      </c>
    </row>
    <row r="186">
      <c r="A186" s="12" t="inlineStr">
        <is>
          <t>graph TD
    INPUT["input/&lt;br/&gt;.vmx / .ovf / .ova"] --&gt; CONV["Converter"]
    CONV --&gt; KVM_OUT["KVM Output"]
    CONV --&gt; NTX_OUT["Nutanix Output"]
    CONV --&gt; REPORT["Reports"]
    KVM_OUT --&gt; XML["{name}.xml&lt;br/&gt;libvirt domain XML"]
    KVM_OUT --&gt; KSH["import_{name}.sh&lt;br/&gt;virsh define + start"]
    NTX_OUT --&gt; ACLI["import_{name}_acli.sh&lt;br/&gt;acli commands"]
    NTX_OUT --&gt; API["import_{name}_api.sh&lt;br/&gt;Prism REST API curl"]
    NTX_OUT --&gt; JSON["{name}_spec.json&lt;br/&gt;Prism v3 VM spec"]
    REPORT --&gt; CSV["migration_report.csv"]
    REPORT --&gt; LOG["migration.log"]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11">
    <mergeCell ref="A153:B153"/>
    <mergeCell ref="A5:B50"/>
    <mergeCell ref="A52:B52"/>
    <mergeCell ref="A101:B151"/>
    <mergeCell ref="A186:B202"/>
    <mergeCell ref="A99:B99"/>
    <mergeCell ref="A155:B182"/>
    <mergeCell ref="A54:B97"/>
    <mergeCell ref="A1:B1"/>
    <mergeCell ref="A3:B3"/>
    <mergeCell ref="A184:B1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2026-04-04T09:17:51Z</dcterms:created>
  <dcterms:modified xsi:type="dcterms:W3CDTF">2026-04-04T09:17:52Z</dcterms:modified>
</cp:coreProperties>
</file>